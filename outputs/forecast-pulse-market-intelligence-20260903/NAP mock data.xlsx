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50351f5074b0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arket growth" sheetId="1" r:id="R95bfddff5e2b49f3"/>
    <sheet xmlns:r="http://schemas.openxmlformats.org/officeDocument/2006/relationships" name="Patient split" sheetId="2" r:id="R4bc43a767f2f4093"/>
    <sheet xmlns:r="http://schemas.openxmlformats.org/officeDocument/2006/relationships" name="Product Uptake" sheetId="5" r:id="R821e78e9074d4e7b"/>
    <sheet xmlns:r="http://schemas.openxmlformats.org/officeDocument/2006/relationships" name="Source of Liphendra starts" sheetId="3" r:id="R2e8ca08e461b4882"/>
    <sheet xmlns:r="http://schemas.openxmlformats.org/officeDocument/2006/relationships" name="Liphendra NPS and Persistency" sheetId="6" r:id="Rabb4a998cad94c35"/>
    <sheet xmlns:r="http://schemas.openxmlformats.org/officeDocument/2006/relationships" name="Assumption Monitor" sheetId="4" r:id="Rd45789f79ffc48a1"/>
    <sheet xmlns:r="http://schemas.openxmlformats.org/officeDocument/2006/relationships" name="LLT Product Mix" sheetId="7" r:id="R55183ab366324774"/>
    <sheet xmlns:r="http://schemas.openxmlformats.org/officeDocument/2006/relationships" name="Prescriber Breadth Depth" sheetId="8" r:id="R2d05fb3049fb4f78"/>
    <sheet xmlns:r="http://schemas.openxmlformats.org/officeDocument/2006/relationships" name="Compliance" sheetId="9" r:id="R0d83ff99b28f4ed7"/>
  </sheets>
</workbook>
</file>

<file path=xl/sharedStrings.xml><?xml version="1.0" encoding="utf-8"?>
<sst xmlns="http://schemas.openxmlformats.org/spreadsheetml/2006/main">
  <si>
    <t xml:space="preserve">Year</t>
  </si>
  <si>
    <t xml:space="preserve">Forecast</t>
  </si>
  <si>
    <t xml:space="preserve">Actuals</t>
  </si>
  <si>
    <t xml:space="preserve">Use Case, let's say forecast was made with data available thru end of 2025 but when showing actuals, we have another 6 month</t>
  </si>
  <si>
    <t xml:space="preserve">of date thru Jun'26. These latest 6 months look very promosing, so that can alter how we think about market growth</t>
  </si>
  <si>
    <t xml:space="preserve">previous data points (end of 2025) in the forecast suggested CAGR of 1.6% but now with additional data points, it's expected to be</t>
  </si>
  <si>
    <t xml:space="preserve">2.1%. The deviation that will cause in the LLT market is what we're trying to showcase.</t>
  </si>
  <si>
    <t xml:space="preserve">Impact of recent deviations in how we think market will expand</t>
  </si>
  <si>
    <t xml:space="preserve">2024 to 43</t>
  </si>
  <si>
    <t xml:space="preserve">Table 1</t>
  </si>
  <si>
    <t xml:space="preserve">Major Patient Segment</t>
  </si>
  <si>
    <t xml:space="preserve">Current forecast distribution</t>
  </si>
  <si>
    <t xml:space="preserve">ASCVD</t>
  </si>
  <si>
    <t xml:space="preserve">Diabetes without ASCVD</t>
  </si>
  <si>
    <t xml:space="preserve">No ASCVD / Diabetes</t>
  </si>
  <si>
    <t xml:space="preserve">Table 2</t>
  </si>
  <si>
    <t xml:space="preserve">Source: Hybrid approach _data requirement_vf.02 (Forian Data - Qral Outputs)</t>
  </si>
  <si>
    <t xml:space="preserve">Patient Segment</t>
  </si>
  <si>
    <t xml:space="preserve">Patient Split - Forecast</t>
  </si>
  <si>
    <t xml:space="preserve">Patient Split - Lates based on claims</t>
  </si>
  <si>
    <t xml:space="preserve">ASCVD 21+ Points Above Goal | Max Dose Statin and/or Combo Therapy</t>
  </si>
  <si>
    <t xml:space="preserve">1D
——
Inadequately Treated (Max Tolerated Statin)
21+ pts above goal</t>
  </si>
  <si>
    <t xml:space="preserve">ASCVD at Goal</t>
  </si>
  <si>
    <t xml:space="preserve">1F
——
 Any Treatment
At goal (≤5)</t>
  </si>
  <si>
    <t xml:space="preserve">ASCVD 21+ Points Above Goal | Intolerant/Unwilling to Use Statins</t>
  </si>
  <si>
    <t xml:space="preserve">1B
——
Statin Intolerant / Unwilling
21+ pts above goal</t>
  </si>
  <si>
    <t xml:space="preserve">ASCVD 6-20 Points Above Goal| Intolerant/Unwilling to Use Statins</t>
  </si>
  <si>
    <t xml:space="preserve">1A
——
Statin Intolerant / Unwilling
6–20 pts above goal</t>
  </si>
  <si>
    <t xml:space="preserve">ASCVD 6-20 Points Above Goal | Max Dose Statin and/or Combo Therapy</t>
  </si>
  <si>
    <t xml:space="preserve">1C
——
Inadequately Treated (Max Tolerated Statin)
6–20 pts above goal</t>
  </si>
  <si>
    <t xml:space="preserve">ASCVD | Statin Only Treatment</t>
  </si>
  <si>
    <t xml:space="preserve">1E
——
No treatment beyond statin needed
6+ pts above goal</t>
  </si>
  <si>
    <t xml:space="preserve">PP w/T2D 21+ Points Above Goal | Max Dose Statin and/or Combo Therapy</t>
  </si>
  <si>
    <t xml:space="preserve">2D
——
Inadequately Treated (Max Tolerated Statin)
21+ pts above goal</t>
  </si>
  <si>
    <t xml:space="preserve">PP w/T2D 6-20 Points Above Goal | Max Dose Statin and/or Combo Therapy</t>
  </si>
  <si>
    <t xml:space="preserve">2C
——
Inadequately Treated (Max Tolerated Statin)
6–20 pts above goal</t>
  </si>
  <si>
    <t xml:space="preserve">PP w/T2D at Goal</t>
  </si>
  <si>
    <t xml:space="preserve">2F
——
 Any Treatment
At goal (≤5)</t>
  </si>
  <si>
    <t xml:space="preserve">PP w/T2D 6-20 Points Above Goal | Intolerant/Unwilling to Use Statins</t>
  </si>
  <si>
    <t xml:space="preserve">2B
——
Statin Intolerant / Unwilling
21+ pts above goal</t>
  </si>
  <si>
    <t xml:space="preserve">PP w/T2D 21+ Points Above Goal | Intolerant/Unwilling to Use Statins</t>
  </si>
  <si>
    <t xml:space="preserve">2A
——
Statin Intolerant / Unwilling
6–20 pts above goal</t>
  </si>
  <si>
    <t xml:space="preserve">PP w/T2D | Statin Only Treatment</t>
  </si>
  <si>
    <t xml:space="preserve">2E
——
No treatment beyond statin needed
6+ pts above goal</t>
  </si>
  <si>
    <t xml:space="preserve">PP without T2D - Other Risk Factors</t>
  </si>
  <si>
    <t xml:space="preserve">3 - No ASCVD/Diabetes – Other Risk Factors</t>
  </si>
  <si>
    <t xml:space="preserve">PP without T2D - No significant risk factor</t>
  </si>
  <si>
    <t xml:space="preserve">4 - No ASCVD/Diabetes –  No Significant Risk Factors</t>
  </si>
  <si>
    <t xml:space="preserve">Total - Base case</t>
  </si>
  <si>
    <t xml:space="preserve">3A
——
Statin Intolerant or Inadequate
0+ pts above goal</t>
  </si>
  <si>
    <t xml:space="preserve">3B
——
No treatment beyond statin needed 
0+ pts above goal</t>
  </si>
  <si>
    <t xml:space="preserve">3C
——
Not treated</t>
  </si>
  <si>
    <t xml:space="preserve">4
——
Statin Intolerant or Inadequate 
0+ pts above goal</t>
  </si>
  <si>
    <t xml:space="preserve">4
——
No treatment beyond statin needed
0+ pts above goal</t>
  </si>
  <si>
    <t xml:space="preserve">4
——
Statin Intolerant or Inadequate or Statin Titrated
0+ pts above goal</t>
  </si>
  <si>
    <t xml:space="preserve">1G
——
Not treated
At goal (≤5 above)</t>
  </si>
  <si>
    <t xml:space="preserve">1H
——
Not treated
6+ pts above goal</t>
  </si>
  <si>
    <t xml:space="preserve">2G
——
Not treated
At goal (≤5 above)</t>
  </si>
  <si>
    <t xml:space="preserve">2H
——
Not treated
6+ pts above goal</t>
  </si>
  <si>
    <t xml:space="preserve">Month</t>
  </si>
  <si>
    <t xml:space="preserve">Nurtec (Oral CGRP)</t>
  </si>
  <si>
    <t xml:space="preserve">Ezetemibe</t>
  </si>
  <si>
    <t xml:space="preserve">Farxiga</t>
  </si>
  <si>
    <t xml:space="preserve">Jardiance</t>
  </si>
  <si>
    <t xml:space="preserve">Ozempic</t>
  </si>
  <si>
    <t xml:space="preserve">Nucala</t>
  </si>
  <si>
    <t xml:space="preserve">Ubrelvy</t>
  </si>
  <si>
    <t xml:space="preserve">Modelled Curve</t>
  </si>
  <si>
    <t xml:space="preserve">Lipfendra Uptake</t>
  </si>
  <si>
    <t xml:space="preserve">6 month uptake (Obi Assumption)</t>
  </si>
  <si>
    <t xml:space="preserve">Lipfendra Lipfendra 6 month uptake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</si>
  <si>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</si>
  <si>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</si>
  <si>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</si>
  <si>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</si>
  <si>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</si>
  <si>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</si>
  <si>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</si>
  <si>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</si>
  <si>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</si>
  <si>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</si>
  <si>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</si>
  <si>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</si>
  <si>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</si>
  <si>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</si>
  <si>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</si>
  <si>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</si>
  <si>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</si>
  <si>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</si>
  <si>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</si>
  <si>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</si>
  <si>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</si>
  <si>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</si>
  <si>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</si>
  <si>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</si>
  <si>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</si>
  <si>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</si>
  <si>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</si>
  <si>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</si>
  <si>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</si>
  <si>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</si>
  <si>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</si>
  <si>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</si>
  <si>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</si>
  <si>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</si>
  <si>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</si>
  <si>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</si>
  <si>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</si>
  <si>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</si>
  <si>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</si>
  <si>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</si>
  <si>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</si>
  <si>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</si>
  <si>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</si>
  <si>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</si>
  <si>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</si>
  <si>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</si>
  <si>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</si>
  <si>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</si>
  <si>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</si>
  <si>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</si>
  <si>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</si>
  <si>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</si>
  <si>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</si>
  <si>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</si>
  <si>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Newly intensified from conventional LLT</t>
  </si>
  <si>
    <t xml:space="preserve">Switch from advanced competitors</t>
  </si>
  <si>
    <t xml:space="preserve">Other/Unknown</t>
  </si>
  <si>
    <t xml:space="preserve">Active Lipfendra writers</t>
  </si>
  <si>
    <t xml:space="preserve">% Rx from top 10% writers</t>
  </si>
  <si>
    <t xml:space="preserve">% Rx from top 25% writers</t>
  </si>
  <si>
    <t xml:space="preserve">Avg. Rx per active writer</t>
  </si>
  <si>
    <t xml:space="preserve">New writers added</t>
  </si>
  <si>
    <t xml:space="preserve">Total advanced LLT patients*</t>
  </si>
  <si>
    <t xml:space="preserve">MoM growth</t>
  </si>
  <si>
    <t xml:space="preserve">Active HCP universe for advanced LLTs</t>
  </si>
  <si>
    <t xml:space="preserve">Median time to escalation</t>
  </si>
  <si>
    <t xml:space="preserve">1.00M</t>
  </si>
  <si>
    <t xml:space="preserve">—</t>
  </si>
  <si>
    <t xml:space="preserve">8.5 mo.</t>
  </si>
  <si>
    <t xml:space="preserve">1.01M</t>
  </si>
  <si>
    <t xml:space="preserve">8.4 mo.</t>
  </si>
  <si>
    <t xml:space="preserve">1.02M</t>
  </si>
  <si>
    <t xml:space="preserve">8.2 mo.</t>
  </si>
  <si>
    <t xml:space="preserve">1.04M</t>
  </si>
  <si>
    <t xml:space="preserve">8.0 mo.</t>
  </si>
  <si>
    <t xml:space="preserve">1.06M</t>
  </si>
  <si>
    <t xml:space="preserve">7.8 mo.</t>
  </si>
  <si>
    <t xml:space="preserve">1.08M</t>
  </si>
  <si>
    <t xml:space="preserve">7.6 mo.</t>
  </si>
  <si>
    <t xml:space="preserve">NPS</t>
  </si>
  <si>
    <t xml:space="preserve">Persistency</t>
  </si>
  <si>
    <t xml:space="preserve">Forecasted NPS</t>
  </si>
  <si>
    <t xml:space="preserve">Actual NPS</t>
  </si>
  <si>
    <t xml:space="preserve">New Forecast Blended Curve</t>
  </si>
  <si>
    <t xml:space="preserve">Lipfendra persitency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</si>
  <si>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</si>
  <si>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</si>
  <si>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</si>
  <si>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</si>
  <si>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</si>
  <si>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</si>
  <si>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</si>
  <si>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</si>
  <si>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</si>
  <si>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</si>
  <si>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</si>
  <si>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</si>
  <si>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</si>
  <si>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</si>
  <si>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</si>
  <si>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</si>
  <si>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</si>
  <si>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</si>
  <si>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</si>
  <si>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</si>
  <si>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</si>
  <si>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</si>
  <si>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</si>
  <si>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</si>
  <si>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</si>
  <si>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</si>
  <si>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M81</t>
  </si>
  <si>
    <t xml:space="preserve">M82</t>
  </si>
  <si>
    <t xml:space="preserve">M83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</si>
  <si>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</si>
  <si>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</si>
  <si>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</si>
  <si>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</si>
  <si>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</si>
  <si>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</si>
  <si>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</si>
  <si>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</si>
  <si>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</si>
  <si>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</si>
  <si>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</si>
  <si>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M95</t>
  </si>
  <si>
    <t xml:space="preserve">M96</t>
  </si>
  <si>
    <t xml:space="preserve">M97</t>
  </si>
  <si>
    <t xml:space="preserve">M98</t>
  </si>
  <si>
    <t xml:space="preserve">M99</t>
  </si>
  <si>
    <t xml:space="preserve">M100</t>
  </si>
  <si>
    <t xml:space="preserve">M101</t>
  </si>
  <si>
    <t xml:space="preserve">M102</t>
  </si>
  <si>
    <t xml:space="preserve">M103</t>
  </si>
  <si>
    <t xml:space="preserve">M104</t>
  </si>
  <si>
    <t xml:space="preserve">M105</t>
  </si>
  <si>
    <t xml:space="preserve">M106</t>
  </si>
  <si>
    <t xml:space="preserve">M107</t>
  </si>
  <si>
    <t xml:space="preserve">M108</t>
  </si>
  <si>
    <t xml:space="preserve">M109</t>
  </si>
  <si>
    <t xml:space="preserve">M110</t>
  </si>
  <si>
    <t xml:space="preserve">M111</t>
  </si>
  <si>
    <t xml:space="preserve">M112</t>
  </si>
  <si>
    <t xml:space="preserve">M113</t>
  </si>
  <si>
    <t xml:space="preserve">M114</t>
  </si>
  <si>
    <t xml:space="preserve">M115</t>
  </si>
  <si>
    <t xml:space="preserve">M116</t>
  </si>
  <si>
    <t xml:space="preserve">M117</t>
  </si>
  <si>
    <t xml:space="preserve">M118</t>
  </si>
  <si>
    <t xml:space="preserve">M119</t>
  </si>
  <si>
    <t xml:space="preserve">M120</t>
  </si>
  <si>
    <t xml:space="preserve">M121</t>
  </si>
  <si>
    <t xml:space="preserve">M122</t>
  </si>
  <si>
    <t xml:space="preserve">M123</t>
  </si>
  <si>
    <t xml:space="preserve">M124</t>
  </si>
  <si>
    <t xml:space="preserve">M125</t>
  </si>
  <si>
    <t xml:space="preserve">M126</t>
  </si>
  <si>
    <t xml:space="preserve">M127</t>
  </si>
  <si>
    <t xml:space="preserve">M128</t>
  </si>
  <si>
    <t xml:space="preserve">M129</t>
  </si>
  <si>
    <t xml:space="preserve">M130</t>
  </si>
  <si>
    <t xml:space="preserve">M131</t>
  </si>
  <si>
    <t xml:space="preserve">M132</t>
  </si>
  <si>
    <t xml:space="preserve">M133</t>
  </si>
  <si>
    <t xml:space="preserve">M134</t>
  </si>
  <si>
    <t xml:space="preserve">M135</t>
  </si>
  <si>
    <t xml:space="preserve">M136</t>
  </si>
  <si>
    <t xml:space="preserve">M137</t>
  </si>
  <si>
    <t xml:space="preserve">M138</t>
  </si>
  <si>
    <t xml:space="preserve">M139</t>
  </si>
  <si>
    <t xml:space="preserve">M140</t>
  </si>
  <si>
    <t xml:space="preserve">M141</t>
  </si>
  <si>
    <t xml:space="preserve">M142</t>
  </si>
  <si>
    <t xml:space="preserve">M143</t>
  </si>
  <si>
    <t xml:space="preserve">M144</t>
  </si>
  <si>
    <t xml:space="preserve">M145</t>
  </si>
  <si>
    <t xml:space="preserve">M146</t>
  </si>
  <si>
    <t xml:space="preserve">M147</t>
  </si>
  <si>
    <t xml:space="preserve">M148</t>
  </si>
  <si>
    <t xml:space="preserve">M149</t>
  </si>
  <si>
    <t xml:space="preserve">M150</t>
  </si>
  <si>
    <t xml:space="preserve">M151</t>
  </si>
  <si>
    <t xml:space="preserve">M152</t>
  </si>
  <si>
    <t xml:space="preserve">M153</t>
  </si>
  <si>
    <t xml:space="preserve">M154</t>
  </si>
  <si>
    <t xml:space="preserve">M155</t>
  </si>
  <si>
    <t xml:space="preserve">M156</t>
  </si>
  <si>
    <t xml:space="preserve">M157</t>
  </si>
  <si>
    <t xml:space="preserve">M158</t>
  </si>
  <si>
    <t xml:space="preserve">M159</t>
  </si>
  <si>
    <t xml:space="preserve">M160</t>
  </si>
  <si>
    <t xml:space="preserve">M161</t>
  </si>
  <si>
    <t xml:space="preserve">M162</t>
  </si>
  <si>
    <t xml:space="preserve">M163</t>
  </si>
  <si>
    <t xml:space="preserve">M164</t>
  </si>
  <si>
    <t xml:space="preserve">M165</t>
  </si>
  <si>
    <t xml:space="preserve">M166</t>
  </si>
  <si>
    <t xml:space="preserve">M167</t>
  </si>
  <si>
    <t xml:space="preserve">M168</t>
  </si>
  <si>
    <t xml:space="preserve">M169</t>
  </si>
  <si>
    <t xml:space="preserve">M170</t>
  </si>
  <si>
    <t xml:space="preserve">M171</t>
  </si>
  <si>
    <t xml:space="preserve">M172</t>
  </si>
  <si>
    <t xml:space="preserve">M173</t>
  </si>
  <si>
    <t xml:space="preserve">M174</t>
  </si>
  <si>
    <t xml:space="preserve">M175</t>
  </si>
  <si>
    <t xml:space="preserve">M176</t>
  </si>
  <si>
    <t xml:space="preserve">M177</t>
  </si>
  <si>
    <t xml:space="preserve">M178</t>
  </si>
  <si>
    <t xml:space="preserve">M179</t>
  </si>
  <si>
    <t xml:space="preserve">M180</t>
  </si>
  <si>
    <t xml:space="preserve">M181</t>
  </si>
  <si>
    <t xml:space="preserve">M182</t>
  </si>
  <si>
    <t xml:space="preserve">M183</t>
  </si>
  <si>
    <t xml:space="preserve">M184</t>
  </si>
  <si>
    <t xml:space="preserve">M185</t>
  </si>
  <si>
    <t xml:space="preserve">M186</t>
  </si>
  <si>
    <t xml:space="preserve">M187</t>
  </si>
  <si>
    <t xml:space="preserve">M188</t>
  </si>
  <si>
    <t xml:space="preserve">M189</t>
  </si>
  <si>
    <t xml:space="preserve">M190</t>
  </si>
  <si>
    <t xml:space="preserve">Assumption</t>
  </si>
  <si>
    <t xml:space="preserve">Base Forecast</t>
  </si>
  <si>
    <t xml:space="preserve">Aug Evidence</t>
  </si>
  <si>
    <t xml:space="preserve">Oct Evidence</t>
  </si>
  <si>
    <t xml:space="preserve">Dec Evidence</t>
  </si>
  <si>
    <t xml:space="preserve">Status</t>
  </si>
  <si>
    <t xml:space="preserve">Market CAGR</t>
  </si>
  <si>
    <t xml:space="preserve">Monitor</t>
  </si>
  <si>
    <t xml:space="preserve">Diagnosis rate</t>
  </si>
  <si>
    <t xml:space="preserve">Holds</t>
  </si>
  <si>
    <t xml:space="preserve">Treatment rate</t>
  </si>
  <si>
    <t xml:space="preserve">Escalation time</t>
  </si>
  <si>
    <t xml:space="preserve">8.4 mo</t>
  </si>
  <si>
    <t xml:space="preserve">Revalidate</t>
  </si>
  <si>
    <t xml:space="preserve">Access</t>
  </si>
  <si>
    <t xml:space="preserve">Fulfilment</t>
  </si>
  <si>
    <t xml:space="preserve">Improving</t>
  </si>
  <si>
    <t xml:space="preserve">Compliance</t>
  </si>
</sst>
</file>

<file path=xl/styles.xml><?xml version="1.0" encoding="utf-8"?>
<styleSheet xmlns="http://schemas.openxmlformats.org/spreadsheetml/2006/main">
  <numFmts count="7">
    <numFmt numFmtId="164" formatCode="#.#,,&quot;M&quot;"/>
    <numFmt numFmtId="165" formatCode="0.0%"/>
    <numFmt numFmtId="200" formatCode="mmm yy"/>
    <numFmt numFmtId="201" formatCode="0.00&quot;M&quot;"/>
    <numFmt numFmtId="202" formatCode="#,##0"/>
    <numFmt numFmtId="203" formatCode="0.0"/>
    <numFmt numFmtId="204" formatCode="0%"/>
  </numFmts>
  <fonts count="15">
    <font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8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i/>
      <sz val="11"/>
      <color theme="1"/>
      <name val="Aptos Narrow"/>
    </font>
    <font>
      <sz val="10"/>
      <color rgb="FFFF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11"/>
      <color theme="1"/>
      <name val="Aptos Narrow"/>
    </font>
    <font>
      <b/>
      <sz val="10"/>
      <color rgb="FF2E5CA8"/>
      <name val="Calibri"/>
    </font>
    <font>
      <b/>
      <sz val="15"/>
      <color rgb="FFFFFFFF"/>
      <name val="Aptos Narrow"/>
    </font>
    <font>
      <b/>
      <sz val="11"/>
      <color rgb="FFFFFFFF"/>
      <name val="Aptos Narrow"/>
    </font>
    <font>
      <i/>
      <sz val="11"/>
      <color rgb="FF667085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3F4FB"/>
      </patternFill>
    </fill>
    <fill>
      <patternFill patternType="solid">
        <fgColor rgb="FFF8ECE8"/>
      </patternFill>
    </fill>
    <fill>
      <patternFill patternType="solid">
        <fgColor rgb="FFE8EAF1"/>
      </patternFill>
    </fill>
    <fill>
      <patternFill patternType="solid">
        <fgColor rgb="FFEBF0E9"/>
      </patternFill>
    </fill>
    <fill>
      <patternFill patternType="solid">
        <fgColor rgb="FFECEBEC"/>
      </patternFill>
    </fill>
    <fill>
      <patternFill patternType="solid">
        <fgColor rgb="FFFFFF00"/>
      </patternFill>
    </fill>
    <fill>
      <patternFill patternType="solid">
        <fgColor theme="5" tint="0.79998"/>
      </patternFill>
    </fill>
    <fill>
      <patternFill patternType="solid">
        <fgColor rgb="FF0B4F7D"/>
      </patternFill>
    </fill>
    <fill>
      <patternFill patternType="solid">
        <fgColor rgb="FF1769AA"/>
      </patternFill>
    </fill>
  </fills>
  <borders count="21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n">
        <color indexed="64"/>
      </left>
      <right style="medium">
        <color rgb="FFFFFFFF"/>
      </right>
      <top style="thin">
        <color indexed="64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n">
        <color indexed="64"/>
      </top>
      <bottom style="medium">
        <color rgb="FFFFFFFF"/>
      </bottom>
    </border>
    <border>
      <left style="medium">
        <color rgb="FFFFFFFF"/>
      </left>
      <right style="thin">
        <color indexed="64"/>
      </right>
      <top style="thin">
        <color indexed="64"/>
      </top>
      <bottom style="medium">
        <color rgb="FFFFFFFF"/>
      </bottom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</border>
    <border>
      <left style="thin">
        <color indexed="64"/>
      </left>
      <right style="medium">
        <color rgb="FFFFFFFF"/>
      </right>
      <top style="thin">
        <color indexed="64"/>
      </top>
      <bottom style="thin">
        <color indexed="64"/>
      </bottom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thin">
        <color indexed="64"/>
      </right>
      <top style="medium">
        <color rgb="FFFFFFFF"/>
      </top>
    </border>
    <border>
      <left style="medium">
        <color rgb="FFFFFFFF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n">
        <color indexed="64"/>
      </right>
      <bottom style="medium">
        <color rgb="FFFFFFFF"/>
      </bottom>
    </border>
    <border>
      <left style="thin">
        <color rgb="FFD9E4EE"/>
      </left>
      <right style="thin">
        <color rgb="FFD9E4EE"/>
      </right>
      <top style="thin">
        <color rgb="FFD9E4EE"/>
      </top>
      <bottom style="thin">
        <color rgb="FFD9E4EE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center"/>
    </xf>
    <xf numFmtId="10" fontId="3" fillId="3" borderId="1" xfId="0" applyNumberFormat="1" applyFont="1" applyFill="1" applyBorder="1" applyAlignment="1">
      <alignment horizontal="center" wrapText="1"/>
    </xf>
    <xf numFmtId="10" fontId="3" fillId="4" borderId="1" xfId="0" applyNumberFormat="1" applyFont="1" applyFill="1" applyBorder="1" applyAlignment="1">
      <alignment horizontal="center" wrapText="1"/>
    </xf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0" fontId="3" fillId="7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0" applyNumberFormat="1"/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8" borderId="0" xfId="0" applyFill="1"/>
    <xf numFmtId="9" fontId="0" fillId="8" borderId="0" xfId="0" applyNumberFormat="1" applyFill="1"/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6" fillId="0" borderId="0" xfId="0" applyFont="1"/>
    <xf numFmtId="1" fontId="0" fillId="0" borderId="0" xfId="0" applyNumberFormat="1" applyAlignment="1">
      <alignment horizontal="center"/>
    </xf>
    <xf numFmtId="10" fontId="3" fillId="7" borderId="7" xfId="0" applyNumberFormat="1" applyFont="1" applyFill="1" applyBorder="1" applyAlignment="1">
      <alignment horizontal="center" wrapText="1"/>
    </xf>
    <xf numFmtId="10" fontId="3" fillId="3" borderId="7" xfId="0" applyNumberFormat="1" applyFont="1" applyFill="1" applyBorder="1" applyAlignment="1">
      <alignment horizontal="center" wrapText="1"/>
    </xf>
    <xf numFmtId="10" fontId="3" fillId="3" borderId="9" xfId="0" applyNumberFormat="1" applyFont="1" applyFill="1" applyBorder="1" applyAlignment="1">
      <alignment horizontal="center" wrapText="1"/>
    </xf>
    <xf numFmtId="10" fontId="3" fillId="3" borderId="10" xfId="0" applyNumberFormat="1" applyFont="1" applyFill="1" applyBorder="1" applyAlignment="1">
      <alignment horizontal="center" wrapText="1"/>
    </xf>
    <xf numFmtId="10" fontId="3" fillId="4" borderId="4" xfId="0" applyNumberFormat="1" applyFont="1" applyFill="1" applyBorder="1" applyAlignment="1">
      <alignment horizontal="center" wrapText="1"/>
    </xf>
    <xf numFmtId="10" fontId="3" fillId="4" borderId="5" xfId="0" applyNumberFormat="1" applyFont="1" applyFill="1" applyBorder="1" applyAlignment="1">
      <alignment horizontal="center" wrapText="1"/>
    </xf>
    <xf numFmtId="10" fontId="3" fillId="4" borderId="7" xfId="0" applyNumberFormat="1" applyFont="1" applyFill="1" applyBorder="1" applyAlignment="1">
      <alignment horizontal="center" wrapText="1"/>
    </xf>
    <xf numFmtId="10" fontId="3" fillId="4" borderId="9" xfId="0" applyNumberFormat="1" applyFont="1" applyFill="1" applyBorder="1" applyAlignment="1">
      <alignment horizontal="center" wrapText="1"/>
    </xf>
    <xf numFmtId="10" fontId="3" fillId="4" borderId="10" xfId="0" applyNumberFormat="1" applyFont="1" applyFill="1" applyBorder="1" applyAlignment="1">
      <alignment horizontal="center" wrapText="1"/>
    </xf>
    <xf numFmtId="10" fontId="3" fillId="5" borderId="4" xfId="0" applyNumberFormat="1" applyFont="1" applyFill="1" applyBorder="1" applyAlignment="1">
      <alignment horizontal="center" wrapText="1"/>
    </xf>
    <xf numFmtId="10" fontId="3" fillId="5" borderId="5" xfId="0" applyNumberFormat="1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9" fillId="6" borderId="11" xfId="0" applyFont="1" applyFill="1" applyBorder="1" applyAlignment="1">
      <alignment horizontal="center" vertical="center" wrapText="1"/>
    </xf>
    <xf numFmtId="10" fontId="9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/>
    <xf numFmtId="165" fontId="0" fillId="0" borderId="0" xfId="1" applyNumberFormat="1" applyFont="1" applyAlignment="1">
      <alignment horizontal="center"/>
    </xf>
    <xf numFmtId="0" fontId="8" fillId="5" borderId="13" xfId="0" applyFont="1" applyFill="1" applyBorder="1" applyAlignment="1">
      <alignment horizontal="left" vertical="center" wrapText="1"/>
    </xf>
    <xf numFmtId="10" fontId="3" fillId="5" borderId="2" xfId="0" applyNumberFormat="1" applyFont="1" applyFill="1" applyBorder="1" applyAlignment="1">
      <alignment horizontal="center" wrapText="1"/>
    </xf>
    <xf numFmtId="10" fontId="3" fillId="5" borderId="14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left" vertical="center" wrapText="1"/>
    </xf>
    <xf numFmtId="10" fontId="3" fillId="7" borderId="17" xfId="0" applyNumberFormat="1" applyFont="1" applyFill="1" applyBorder="1" applyAlignment="1">
      <alignment horizontal="center" wrapText="1"/>
    </xf>
    <xf numFmtId="10" fontId="3" fillId="7" borderId="18" xfId="0" applyNumberFormat="1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10" fontId="9" fillId="6" borderId="15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11" fillId="2" borderId="15" xfId="0" applyFont="1" applyFill="1" applyBorder="1" applyAlignment="1">
      <alignment horizontal="center" vertical="center" wrapText="1"/>
    </xf>
    <xf numFmtId="0" fontId="0" fillId="9" borderId="0" xfId="0" applyNumberFormat="1" applyFont="1" applyFill="1" applyBorder="1"/>
    <xf numFmtId="0" fontId="12" fillId="9" borderId="0" xfId="0" applyNumberFormat="1" applyFont="1" applyFill="1" applyBorder="1"/>
    <xf numFmtId="0" fontId="12" fillId="9" borderId="0" xfId="0" applyNumberFormat="1" applyFont="1" applyFill="1" applyBorder="1" applyAlignment="1">
      <alignment vertical="center"/>
    </xf>
    <xf numFmtId="0" fontId="0" fillId="10" borderId="0" xfId="0" applyNumberFormat="1" applyFont="1" applyFill="1" applyBorder="1"/>
    <xf numFmtId="0" fontId="13" fillId="10" borderId="0" xfId="0" applyNumberFormat="1" applyFont="1" applyFill="1" applyBorder="1"/>
    <xf numFmtId="0" fontId="13" fillId="10" borderId="19" xfId="0" applyNumberFormat="1" applyFont="1" applyFill="1" applyBorder="1"/>
    <xf numFmtId="0" fontId="13" fillId="10" borderId="19" xfId="0" applyNumberFormat="1" applyFont="1" applyFill="1" applyBorder="1" applyAlignment="1">
      <alignment wrapText="1"/>
    </xf>
    <xf numFmtId="0" fontId="13" fillId="10" borderId="19" xfId="0" applyNumberFormat="1" applyFont="1" applyFill="1" applyBorder="1" applyAlignment="1">
      <alignment vertical="center" wrapText="1"/>
    </xf>
    <xf numFmtId="0" fontId="0" fillId="0" borderId="20" xfId="0" applyNumberFormat="1" applyFont="1" applyFill="1" applyBorder="1"/>
    <xf numFmtId="0" fontId="14" fillId="0" borderId="0" xfId="0" applyNumberFormat="1" applyFont="1" applyFill="1" applyBorder="1"/>
    <xf numFmtId="0" fontId="14" fillId="0" borderId="0" xfId="0" applyNumberFormat="1" applyFont="1" applyFill="1" applyBorder="1" applyAlignment="1">
      <alignment wrapText="1"/>
    </xf>
    <xf numFmtId="200" fontId="0" fillId="0" borderId="20" xfId="0" applyNumberFormat="1" applyFont="1" applyFill="1" applyBorder="1"/>
    <xf numFmtId="201" fontId="0" fillId="0" borderId="20" xfId="0" applyNumberFormat="1" applyFont="1" applyFill="1" applyBorder="1"/>
    <xf numFmtId="165" fontId="0" fillId="0" borderId="20" xfId="0" applyNumberFormat="1" applyFont="1" applyFill="1" applyBorder="1"/>
    <xf numFmtId="202" fontId="0" fillId="0" borderId="20" xfId="0" applyNumberFormat="1" applyFont="1" applyFill="1" applyBorder="1"/>
    <xf numFmtId="203" fontId="0" fillId="0" borderId="20" xfId="0" applyNumberFormat="1" applyFont="1" applyFill="1" applyBorder="1"/>
    <xf numFmtId="204" fontId="0" fillId="0" borderId="20" xfId="0" applyNumberFormat="1" applyFont="1" applyFill="1" applyBorder="1"/>
    <xf numFmtId="200" fontId="0" fillId="0" borderId="0" xfId="0" applyNumberFormat="1" applyFont="1" applyFill="1" applyBorder="1" applyAlignment="1">
      <alignment horizontal="center"/>
    </xf>
    <xf numFmtId="0" fontId="13" fillId="10" borderId="0" xfId="0" applyNumberFormat="1" applyFont="1" applyFill="1" applyBorder="1" applyAlignment="1">
      <alignment wrapText="1"/>
    </xf>
    <xf numFmtId="202" fontId="0" fillId="0" borderId="0" xfId="0" applyNumberFormat="1" applyFont="1" applyFill="1" applyBorder="1"/>
    <xf numFmtId="200" fontId="0" fillId="0" borderId="0" xfId="0" applyNumberFormat="1" applyFont="1" applyFill="1" applyBorder="1"/>
    <xf numFmtId="204" fontId="0" fillId="0" borderId="0" xfId="0" applyNumberFormat="1" applyFont="1" applyFill="1" applyBorder="1" applyAlignment="1">
      <alignment vertical="center" wrapText="1"/>
    </xf>
    <xf numFmtId="204" fontId="2" fillId="0" borderId="0" xfId="0" applyNumberFormat="1" applyFont="1" applyFill="1" applyBorder="1" applyAlignment="1">
      <alignment vertical="center" wrapText="1"/>
    </xf>
    <xf numFmtId="204" fontId="0" fillId="0" borderId="0" xfId="0" applyNumberFormat="1" applyFont="1" applyFill="1" applyBorder="1"/>
  </cellXfs>
  <cellStyles count="2">
    <cellStyle name="Normal" xfId="0"/>
    <cellStyle name="Percent" xfId="1"/>
  </cellStyles>
  <dxfs count="9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3" formatCode="#,##0"/>
    </dxf>
    <dxf>
      <numFmt numFmtId="13" formatCode="0%"/>
    </dxf>
    <dxf/>
    <dxf>
      <font>
        <b/>
      </font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84ea5ba83478a" /><Relationship Type="http://schemas.openxmlformats.org/officeDocument/2006/relationships/theme" Target="/xl/theme/theme1.xml" Id="R1b31e16522954992" /><Relationship Type="http://schemas.openxmlformats.org/officeDocument/2006/relationships/sharedStrings" Target="/xl/sharedStrings.xml" Id="R83b0c29fb3244b10" /><Relationship Type="http://schemas.openxmlformats.org/officeDocument/2006/relationships/worksheet" Target="/xl/worksheets/sheet1.xml" Id="R95bfddff5e2b49f3" /><Relationship Type="http://schemas.openxmlformats.org/officeDocument/2006/relationships/worksheet" Target="/xl/worksheets/sheet2.xml" Id="R4bc43a767f2f4093" /><Relationship Type="http://schemas.openxmlformats.org/officeDocument/2006/relationships/worksheet" Target="/xl/worksheets/sheet3.xml" Id="R821e78e9074d4e7b" /><Relationship Type="http://schemas.openxmlformats.org/officeDocument/2006/relationships/worksheet" Target="/xl/worksheets/sheet4.xml" Id="R2e8ca08e461b4882" /><Relationship Type="http://schemas.openxmlformats.org/officeDocument/2006/relationships/worksheet" Target="/xl/worksheets/sheet5.xml" Id="Rabb4a998cad94c35" /><Relationship Type="http://schemas.openxmlformats.org/officeDocument/2006/relationships/worksheet" Target="/xl/worksheets/sheet6.xml" Id="Rd45789f79ffc48a1" /><Relationship Type="http://schemas.openxmlformats.org/officeDocument/2006/relationships/worksheet" Target="/xl/worksheets/sheet7.xml" Id="R55183ab366324774" /><Relationship Type="http://schemas.openxmlformats.org/officeDocument/2006/relationships/worksheet" Target="/xl/worksheets/sheet8.xml" Id="R2d05fb3049fb4f78" /><Relationship Type="http://schemas.openxmlformats.org/officeDocument/2006/relationships/worksheet" Target="/xl/worksheets/sheet9.xml" Id="R0d83ff99b28f4ed7" /></Relationships>
</file>

<file path=xl/tables/table1.xml><?xml version="1.0" encoding="utf-8"?>
<table xmlns="http://schemas.openxmlformats.org/spreadsheetml/2006/main" id="3" name="Table14" displayName="Table14" ref="B3:I63" totalsRowShown="0">
  <tableColumns count="8">
    <tableColumn id="1" name="Month" dataDxfId="7"/>
    <tableColumn id="2" name="Nurtec (Oral CGRP)" dataDxfId="6"/>
    <tableColumn id="4" name="Ezetemibe" dataDxfId="5"/>
    <tableColumn id="3" name="Farxiga" dataDxfId="4"/>
    <tableColumn id="6" name="Jardiance" dataDxfId="3"/>
    <tableColumn id="7" name="Ozempic" dataDxfId="2"/>
    <tableColumn id="8" name="Nucala" dataDxfId="1"/>
    <tableColumn id="9" name="Ubrelv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1.xml" Id="R30d9136455214842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4.399999618530273"/>
  <cols>
    <col min="3" max="3" width="13.109375" customWidth="1"/>
    <col min="4" max="4" width="15" customWidth="1"/>
  </cols>
  <sheetData>
    <row r="3">
      <c r="B3" s="38" t="s">
        <v>0</v>
      </c>
      <c r="C3" s="14" t="s">
        <v>1</v>
      </c>
      <c r="D3" s="14" t="s">
        <v>2</v>
      </c>
      <c r="F3" t="s">
        <v>3</v>
      </c>
    </row>
    <row r="4">
      <c r="B4" s="38">
        <v>2024</v>
      </c>
      <c r="C4" s="2">
        <v>68040350.404193997</v>
      </c>
      <c r="D4" s="2">
        <v>68040350.404193997</v>
      </c>
      <c r="F4" t="s">
        <v>4</v>
      </c>
    </row>
    <row r="5">
      <c r="B5" s="38" t="n">
        <f t="shared" ref="B5:B8" si="0">B4+1</f>
        <v>2025</v>
      </c>
      <c r="C5" s="2">
        <v>69197036.361065298</v>
      </c>
      <c r="D5" s="2">
        <v>69197036.361065298</v>
      </c>
      <c r="F5" t="s">
        <v>5</v>
      </c>
    </row>
    <row r="6">
      <c r="B6" s="38">
        <f t="shared" si="0"/>
        <v>2026</v>
      </c>
      <c r="C6" s="2">
        <v>70276510.128297895</v>
      </c>
      <c r="D6" s="2">
        <v>70776510.128297895</v>
      </c>
      <c r="F6" t="s">
        <v>6</v>
      </c>
    </row>
    <row r="7">
      <c r="B7" s="38">
        <f t="shared" si="0"/>
        <v>2027</v>
      </c>
      <c r="C7" s="2">
        <v>71500000.130531505</v>
      </c>
      <c r="D7" s="2">
        <v>72300000.130531505</v>
      </c>
      <c r="F7" t="s">
        <v>7</v>
      </c>
    </row>
    <row r="8">
      <c r="B8" s="38">
        <f t="shared" si="0"/>
        <v>2028</v>
      </c>
      <c r="C8" s="2">
        <v>72939400.133159295</v>
      </c>
      <c r="D8" s="2">
        <v>73839400.133159295</v>
      </c>
    </row>
    <row r="9">
      <c r="B9" s="38" t="n">
        <f>B8+1</f>
        <v>2029</v>
      </c>
      <c r="C9" s="2">
        <v>74483147.873551905</v>
      </c>
      <c r="D9" s="2">
        <v>75483147.873551905</v>
      </c>
    </row>
    <row r="10">
      <c r="B10" s="38" t="n">
        <f t="shared" ref="B10:B23" si="1">B9+1</f>
        <v>2030</v>
      </c>
      <c r="C10" s="2">
        <v>76045549.3195225</v>
      </c>
      <c r="D10" s="2">
        <v>77045549.3195225</v>
      </c>
    </row>
    <row r="11">
      <c r="B11" s="38">
        <f t="shared" si="1"/>
        <v>2031</v>
      </c>
      <c r="C11" s="2">
        <v>77584100.061735898</v>
      </c>
      <c r="D11" s="2">
        <v>78584100.061735898</v>
      </c>
    </row>
    <row r="12">
      <c r="B12" s="38">
        <f t="shared" si="1"/>
        <v>2032</v>
      </c>
      <c r="C12" s="2">
        <v>79078001.430776298</v>
      </c>
      <c r="D12" s="2">
        <v>80278001.430776298</v>
      </c>
    </row>
    <row r="13">
      <c r="B13" s="38">
        <f t="shared" si="1"/>
        <v>2033</v>
      </c>
      <c r="C13" s="2">
        <v>80517404.838473499</v>
      </c>
      <c r="D13" s="2">
        <v>82017404.838473499</v>
      </c>
    </row>
    <row r="14">
      <c r="B14" s="38">
        <f t="shared" si="1"/>
        <v>2034</v>
      </c>
      <c r="C14" s="2">
        <v>81904630.250773206</v>
      </c>
      <c r="D14" s="2">
        <v>83704630.250773206</v>
      </c>
    </row>
    <row r="15">
      <c r="B15" s="38">
        <f t="shared" si="1"/>
        <v>2035</v>
      </c>
      <c r="C15" s="2">
        <v>83242203.082652405</v>
      </c>
      <c r="D15" s="2">
        <v>85542203.082652405</v>
      </c>
    </row>
    <row r="16">
      <c r="B16" s="38">
        <f t="shared" si="1"/>
        <v>2036</v>
      </c>
      <c r="C16" s="2">
        <v>84528479.872304603</v>
      </c>
      <c r="D16" s="2">
        <v>87328479.872304603</v>
      </c>
    </row>
    <row r="17">
      <c r="B17" s="38">
        <f t="shared" si="1"/>
        <v>2037</v>
      </c>
      <c r="C17" s="2">
        <v>85765943.348173499</v>
      </c>
      <c r="D17" s="2">
        <v>89065943.348173499</v>
      </c>
    </row>
    <row r="18">
      <c r="B18" s="38">
        <f t="shared" si="1"/>
        <v>2038</v>
      </c>
      <c r="C18" s="2">
        <v>86956956.074646205</v>
      </c>
      <c r="D18" s="2">
        <v>91056956.074646205</v>
      </c>
    </row>
    <row r="19">
      <c r="B19" s="38">
        <f t="shared" si="1"/>
        <v>2039</v>
      </c>
      <c r="C19" s="2">
        <v>88103766.267993495</v>
      </c>
      <c r="D19" s="2">
        <v>92903766.267993495</v>
      </c>
    </row>
    <row r="20">
      <c r="B20" s="38">
        <f t="shared" si="1"/>
        <v>2040</v>
      </c>
      <c r="C20" s="2">
        <v>89208513.330818698</v>
      </c>
      <c r="D20" s="2">
        <v>94808513.330818698</v>
      </c>
    </row>
    <row r="21">
      <c r="B21" s="38">
        <f t="shared" si="1"/>
        <v>2041</v>
      </c>
      <c r="C21" s="2">
        <v>90269246.914758503</v>
      </c>
      <c r="D21" s="2">
        <v>96869246.914758503</v>
      </c>
    </row>
    <row r="22">
      <c r="B22" s="38">
        <f t="shared" si="1"/>
        <v>2042</v>
      </c>
      <c r="C22" s="2">
        <v>91288097.272191003</v>
      </c>
      <c r="D22" s="2">
        <v>98688097.272191003</v>
      </c>
    </row>
    <row r="23">
      <c r="B23" s="38">
        <f t="shared" si="1"/>
        <v>2043</v>
      </c>
      <c r="C23" s="2">
        <v>92267091.551279202</v>
      </c>
      <c r="D23" s="2">
        <v>100667091.55127899</v>
      </c>
    </row>
    <row r="25">
      <c r="B25" t="s">
        <v>8</v>
      </c>
      <c r="C25" s="60" t="str">
        <f>"CAGR: "&amp;ROUND(_xlfn.RRI(COUNTA(B4:B23)-1,C4,C23)*100,1)&amp;"%"</f>
        <v>CAGR: 1.6%</v>
      </c>
      <c r="D25" s="60" t="str">
        <f>"CAGR: "&amp;ROUND(_xlfn.RRI(COUNTA(B4:B23)-1,D4,D23)*100,1)&amp;"%"</f>
        <v>CAGR: 2.1%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4.399999618530273"/>
  <cols>
    <col min="2" max="2" width="64.88671875" customWidth="1"/>
    <col min="3" max="3" width="24.6640625" customWidth="1"/>
    <col min="4" max="4" width="29.44140625" customWidth="1"/>
    <col min="7" max="7" width="57.88671875" customWidth="1"/>
    <col min="8" max="8" width="11.88671875" customWidth="1"/>
  </cols>
  <sheetData>
    <row r="2">
      <c r="B2" s="19" t="s">
        <v>9</v>
      </c>
    </row>
    <row r="4">
      <c r="B4" s="24" t="s">
        <v>10</v>
      </c>
      <c r="C4" s="24" t="s">
        <v>11</v>
      </c>
    </row>
    <row r="5">
      <c r="B5" s="24" t="s">
        <v>12</v>
      </c>
      <c r="C5" s="25" t="n">
        <f>SUM(C13:C18)</f>
        <v>0.35</v>
      </c>
    </row>
    <row r="6">
      <c r="B6" s="24" t="s">
        <v>13</v>
      </c>
      <c r="C6" s="25" t="n">
        <f>SUM(C19:C24)</f>
        <v>0.296</v>
      </c>
    </row>
    <row r="7">
      <c r="B7" s="24" t="s">
        <v>14</v>
      </c>
      <c r="C7" s="25" t="n">
        <f>SUM(C25:C26)</f>
        <v>0.354</v>
      </c>
    </row>
    <row r="10">
      <c r="B10" s="26" t="s">
        <v>15</v>
      </c>
    </row>
    <row r="11">
      <c r="G11" s="59" t="s">
        <v>16</v>
      </c>
    </row>
    <row r="12">
      <c r="B12" s="67" t="s">
        <v>17</v>
      </c>
      <c r="C12" s="68" t="s">
        <v>18</v>
      </c>
      <c r="D12" s="71" t="s">
        <v>19</v>
      </c>
    </row>
    <row r="13" ht="15">
      <c r="B13" s="64" t="s">
        <v>20</v>
      </c>
      <c r="C13" s="65">
        <v>0.104</v>
      </c>
      <c r="D13" s="66">
        <v>9.5000000000000001E-2</v>
      </c>
      <c r="G13" t="s">
        <v>21</v>
      </c>
      <c r="H13" s="16">
        <v>52020.991983967935</v>
      </c>
      <c r="I13" s="60" t="n">
        <f t="shared" ref="I13:I26" si="0">H13/SUM($H$13:$H$26)</f>
        <v>0.01133297909930196</v>
      </c>
    </row>
    <row r="14" ht="15">
      <c r="B14" s="50" t="s">
        <v>22</v>
      </c>
      <c r="C14" s="13">
        <v>0.111</v>
      </c>
      <c r="D14" s="39">
        <v>0.115</v>
      </c>
      <c r="G14" t="s">
        <v>23</v>
      </c>
      <c r="H14" s="16">
        <v>184603.98549179515</v>
      </c>
      <c r="I14" s="60">
        <f t="shared" si="0"/>
        <v>4.0216709244435662E-2</v>
      </c>
    </row>
    <row r="15" ht="15">
      <c r="B15" s="50" t="s">
        <v>24</v>
      </c>
      <c r="C15" s="13">
        <v>7.6999999999999999E-2</v>
      </c>
      <c r="D15" s="39">
        <v>8.2000000000000003E-2</v>
      </c>
      <c r="G15" t="s">
        <v>25</v>
      </c>
      <c r="H15" s="16">
        <v>25191.390497401633</v>
      </c>
      <c r="I15" s="60">
        <f t="shared" si="0"/>
        <v>5.4880441741170837E-3</v>
      </c>
    </row>
    <row r="16" ht="15">
      <c r="B16" s="51" t="s">
        <v>26</v>
      </c>
      <c r="C16" s="3">
        <v>8.9999999999999993E-3</v>
      </c>
      <c r="D16" s="40">
        <v>8.9999999999999993E-3</v>
      </c>
      <c r="G16" t="s">
        <v>27</v>
      </c>
      <c r="H16" s="16">
        <v>2973.8975501113587</v>
      </c>
      <c r="I16" s="60">
        <f t="shared" si="0"/>
        <v>6.4787535749537631E-4</v>
      </c>
    </row>
    <row r="17" ht="15">
      <c r="B17" s="51" t="s">
        <v>28</v>
      </c>
      <c r="C17" s="3">
        <v>1.6E-2</v>
      </c>
      <c r="D17" s="40">
        <v>1.6E-2</v>
      </c>
      <c r="G17" t="s">
        <v>29</v>
      </c>
      <c r="H17" s="16">
        <v>9836.8737474949903</v>
      </c>
      <c r="I17" s="60">
        <f t="shared" si="0"/>
        <v>2.1430018984872419E-3</v>
      </c>
    </row>
    <row r="18">
      <c r="B18" s="52" t="s">
        <v>30</v>
      </c>
      <c r="C18" s="41">
        <v>3.3000000000000002E-2</v>
      </c>
      <c r="D18" s="42">
        <v>3.5000000000000003E-2</v>
      </c>
      <c r="G18" t="s">
        <v>31</v>
      </c>
      <c r="H18" s="16">
        <v>633852.86072922894</v>
      </c>
      <c r="I18" s="60">
        <f t="shared" si="0"/>
        <v>0.13808735567539607</v>
      </c>
    </row>
    <row r="19" ht="15">
      <c r="B19" s="53" t="s">
        <v>32</v>
      </c>
      <c r="C19" s="43">
        <v>9.6000000000000002E-2</v>
      </c>
      <c r="D19" s="44">
        <v>9.0999999999999998E-2</v>
      </c>
      <c r="G19" t="s">
        <v>33</v>
      </c>
      <c r="H19" s="16">
        <v>11962.021509296392</v>
      </c>
      <c r="I19" s="60">
        <f t="shared" si="0"/>
        <v>2.6059737536730486E-3</v>
      </c>
    </row>
    <row r="20" ht="15">
      <c r="B20" s="54" t="s">
        <v>34</v>
      </c>
      <c r="C20" s="4">
        <v>1.4999999999999999E-2</v>
      </c>
      <c r="D20" s="45">
        <v>1.4E-2</v>
      </c>
      <c r="G20" t="s">
        <v>35</v>
      </c>
      <c r="H20" s="16">
        <v>3892.3168064163319</v>
      </c>
      <c r="I20" s="60">
        <f t="shared" si="0"/>
        <v>8.4795662928866368E-4</v>
      </c>
    </row>
    <row r="21" ht="15">
      <c r="B21" s="54" t="s">
        <v>36</v>
      </c>
      <c r="C21" s="4">
        <v>6.0999999999999999E-2</v>
      </c>
      <c r="D21" s="45">
        <v>6.4000000000000001E-2</v>
      </c>
      <c r="G21" t="s">
        <v>37</v>
      </c>
      <c r="H21" s="16">
        <v>367854.14234905096</v>
      </c>
      <c r="I21" s="60">
        <f t="shared" si="0"/>
        <v>8.0138481559871591E-2</v>
      </c>
    </row>
    <row r="22" ht="15">
      <c r="B22" s="54" t="s">
        <v>38</v>
      </c>
      <c r="C22" s="4">
        <v>1.0999999999999999E-2</v>
      </c>
      <c r="D22" s="45">
        <v>1.2E-2</v>
      </c>
      <c r="G22" t="s">
        <v>39</v>
      </c>
      <c r="H22" s="16">
        <v>6675.824547600314</v>
      </c>
      <c r="I22" s="60">
        <f t="shared" si="0"/>
        <v>1.45435481299314E-3</v>
      </c>
    </row>
    <row r="23" ht="15">
      <c r="B23" s="54" t="s">
        <v>40</v>
      </c>
      <c r="C23" s="4">
        <v>7.6999999999999999E-2</v>
      </c>
      <c r="D23" s="45">
        <v>6.8000000000000005E-2</v>
      </c>
      <c r="G23" t="s">
        <v>41</v>
      </c>
      <c r="H23" s="16">
        <v>2276.6577498033043</v>
      </c>
      <c r="I23" s="60">
        <f t="shared" si="0"/>
        <v>4.9597890602963218E-4</v>
      </c>
    </row>
    <row r="24">
      <c r="B24" s="55" t="s">
        <v>42</v>
      </c>
      <c r="C24" s="46">
        <v>3.5999999999999997E-2</v>
      </c>
      <c r="D24" s="47">
        <v>3.5000000000000003E-2</v>
      </c>
      <c r="G24" t="s">
        <v>43</v>
      </c>
      <c r="H24" s="16">
        <v>253346.03703783272</v>
      </c>
      <c r="I24" s="60">
        <f t="shared" si="0"/>
        <v>5.5192437382308807E-2</v>
      </c>
    </row>
    <row r="25" ht="15">
      <c r="B25" s="56" t="s">
        <v>44</v>
      </c>
      <c r="C25" s="48">
        <v>0.25600000000000001</v>
      </c>
      <c r="D25" s="49">
        <v>0.27</v>
      </c>
      <c r="G25" t="s">
        <v>45</v>
      </c>
      <c r="H25" s="16" t="n">
        <f>SUM(H31:H33)</f>
        <v>1624067</v>
      </c>
      <c r="I25" s="60">
        <f t="shared" si="0"/>
        <v>0.35380942702012164</v>
      </c>
    </row>
    <row r="26">
      <c r="B26" s="61" t="s">
        <v>46</v>
      </c>
      <c r="C26" s="62">
        <v>9.8000000000000004E-2</v>
      </c>
      <c r="D26" s="63" t="n">
        <f>1-SUM(D13:D25)</f>
        <v>0.09399999999999975</v>
      </c>
      <c r="G26" t="s">
        <v>47</v>
      </c>
      <c r="H26" s="16" t="n">
        <f>SUM(H34:H36)</f>
        <v>1411677</v>
      </c>
      <c r="I26" s="60">
        <f t="shared" si="0"/>
        <v>0.30753942448648008</v>
      </c>
    </row>
    <row r="27">
      <c r="B27" s="57" t="s">
        <v>48</v>
      </c>
      <c r="C27" s="58" t="n">
        <f>SUM(C13:C26)</f>
        <v>1</v>
      </c>
      <c r="D27" s="69" t="n">
        <f>SUM(D13:D26)</f>
        <v>1</v>
      </c>
      <c r="E27" s="70"/>
      <c r="H27" s="16"/>
    </row>
    <row r="28">
      <c r="H28" s="16"/>
    </row>
    <row r="29">
      <c r="H29" s="16"/>
    </row>
    <row r="30">
      <c r="H30" s="16"/>
    </row>
    <row r="31">
      <c r="G31" t="s">
        <v>49</v>
      </c>
      <c r="H31" s="16">
        <v>113118</v>
      </c>
    </row>
    <row r="32">
      <c r="G32" t="s">
        <v>50</v>
      </c>
      <c r="H32" s="16">
        <v>1301493</v>
      </c>
    </row>
    <row r="33">
      <c r="G33" t="s">
        <v>51</v>
      </c>
      <c r="H33" s="16">
        <v>209456</v>
      </c>
    </row>
    <row r="34">
      <c r="G34" t="s">
        <v>52</v>
      </c>
      <c r="H34" s="16">
        <v>79616</v>
      </c>
    </row>
    <row r="35">
      <c r="G35" t="s">
        <v>53</v>
      </c>
      <c r="H35" s="16">
        <v>1046324</v>
      </c>
    </row>
    <row r="36">
      <c r="G36" t="s">
        <v>54</v>
      </c>
      <c r="H36" s="16">
        <v>285737</v>
      </c>
    </row>
    <row r="37">
      <c r="G37" t="s">
        <v>55</v>
      </c>
      <c r="H37" s="16">
        <v>25600.427783902978</v>
      </c>
    </row>
    <row r="38">
      <c r="G38" t="s">
        <v>56</v>
      </c>
      <c r="H38" s="16">
        <v>133075.57221609703</v>
      </c>
    </row>
    <row r="39">
      <c r="G39" t="s">
        <v>57</v>
      </c>
      <c r="H39" s="16">
        <v>40414.103335318643</v>
      </c>
    </row>
    <row r="40">
      <c r="G40" t="s">
        <v>58</v>
      </c>
      <c r="H40" s="16">
        <v>47766.896664681364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FormatPr defaultRowHeight="14.399999618530273"/>
  <cols>
    <col min="3" max="3" width="16.5546875" customWidth="1"/>
    <col min="4" max="4" width="9.33203125" customWidth="1"/>
    <col min="5" max="5" width="6.5546875" customWidth="1"/>
    <col min="6" max="6" width="8.5546875" customWidth="1"/>
    <col min="7" max="7" width="8" customWidth="1"/>
    <col min="8" max="8" width="6.5546875" customWidth="1"/>
    <col min="9" max="9" width="6.88671875" customWidth="1"/>
    <col min="10" max="10" width="13.44140625" customWidth="1"/>
    <col min="11" max="11" width="22.109375" customWidth="1"/>
    <col min="12" max="12" width="28" customWidth="1"/>
    <col min="14" max="14" width="18" hidden="0" customWidth="1"/>
    <col min="15" max="15" width="18" hidden="0" customWidth="1"/>
  </cols>
  <sheetData>
    <row r="3">
      <c r="B3" s="21" t="s">
        <v>59</v>
      </c>
      <c r="C3" s="20" t="s">
        <v>60</v>
      </c>
      <c r="D3" s="20" t="s">
        <v>61</v>
      </c>
      <c r="E3" s="21" t="s">
        <v>62</v>
      </c>
      <c r="F3" s="21" t="s">
        <v>63</v>
      </c>
      <c r="G3" s="21" t="s">
        <v>64</v>
      </c>
      <c r="H3" s="21" t="s">
        <v>65</v>
      </c>
      <c r="I3" s="21" t="s">
        <v>66</v>
      </c>
      <c r="J3" s="18" t="s">
        <v>67</v>
      </c>
      <c r="K3" s="22" t="s">
        <v>68</v>
      </c>
      <c r="N3" s="90" t="str">
        <v>Forecast NPS Count</v>
      </c>
      <c r="O3" s="90" t="str">
        <v>Actual NPS Count</v>
      </c>
    </row>
    <row r="4">
      <c r="B4" s="89" t="n">
        <v>45839</v>
      </c>
      <c r="C4" s="15">
        <v>3.1815566266780158E-3</v>
      </c>
      <c r="D4" s="16"/>
      <c r="E4" s="17">
        <v>2.0950290356897605E-2</v>
      </c>
      <c r="F4" s="17">
        <v>8.383011071823647E-3</v>
      </c>
      <c r="G4" s="17">
        <v>2.5411539523951016E-3</v>
      </c>
      <c r="H4" s="17">
        <v>1.4684225311348163E-2</v>
      </c>
      <c r="I4" s="17">
        <v>1.879551267307996E-2</v>
      </c>
      <c r="J4" s="17">
        <v>1.6666666666666666E-2</v>
      </c>
      <c r="K4" s="27" t="n">
        <v>0.019</v>
      </c>
      <c r="L4" s="22" t="s">
        <v>69</v>
      </c>
      <c r="M4" s="22" t="s">
        <v>70</v>
      </c>
      <c r="N4" s="91" t="n">
        <f>'LLT Product Mix'!B10*J4*1000000</f>
        <v>16000</v>
      </c>
      <c r="O4" s="91" t="n">
        <f>'LLT Product Mix'!B10*K4*1000000</f>
        <v>18240</v>
      </c>
    </row>
    <row r="5">
      <c r="B5" s="89" t="n">
        <v>45870</v>
      </c>
      <c r="C5" s="15">
        <v>2.1460193962054657E-2</v>
      </c>
      <c r="D5" s="16"/>
      <c r="E5" s="17">
        <v>4.190058071379521E-2</v>
      </c>
      <c r="F5" s="17">
        <v>1.6766022143647322E-2</v>
      </c>
      <c r="G5" s="17">
        <v>5.0823079047902005E-3</v>
      </c>
      <c r="H5" s="17">
        <v>2.9368450622696302E-2</v>
      </c>
      <c r="I5" s="17">
        <v>3.7591025346159976E-2</v>
      </c>
      <c r="J5" s="17">
        <v>3.3333333333333333E-2</v>
      </c>
      <c r="K5" s="27" t="n">
        <v>0.036</v>
      </c>
      <c r="L5" s="23" t="n">
        <f>J9</f>
        <v>0.09999999999999999</v>
      </c>
      <c r="M5" s="23">
        <v>0.14000000000000001</v>
      </c>
      <c r="N5" s="91" t="n">
        <f>'LLT Product Mix'!B11*J5*1000000</f>
        <v>32333.333333333332</v>
      </c>
      <c r="O5" s="91" t="n">
        <f>'LLT Product Mix'!B11*K5*1000000</f>
        <v>34920</v>
      </c>
    </row>
    <row r="6">
      <c r="B6" s="89" t="n">
        <v>45901</v>
      </c>
      <c r="C6" s="15">
        <v>4.9373579224653283E-2</v>
      </c>
      <c r="D6" s="16"/>
      <c r="E6" s="17">
        <v>6.2850871070692815E-2</v>
      </c>
      <c r="F6" s="17">
        <v>2.5149033215470996E-2</v>
      </c>
      <c r="G6" s="17">
        <v>7.6234618571853E-3</v>
      </c>
      <c r="H6" s="17">
        <v>4.4052675934044438E-2</v>
      </c>
      <c r="I6" s="17">
        <v>5.6386538019239991E-2</v>
      </c>
      <c r="J6" s="17">
        <v>0.05</v>
      </c>
      <c r="K6" s="27" t="n">
        <v>0.054</v>
      </c>
      <c r="N6" s="91" t="n">
        <f>'LLT Product Mix'!B12*J6*1000000</f>
        <v>49000</v>
      </c>
      <c r="O6" s="91" t="n">
        <f>'LLT Product Mix'!B12*K6*1000000</f>
        <v>52920</v>
      </c>
    </row>
    <row r="7">
      <c r="B7" s="89" t="n">
        <v>45931</v>
      </c>
      <c r="C7" s="15">
        <v>7.6097934264371114E-2</v>
      </c>
      <c r="D7" s="16"/>
      <c r="E7" s="17">
        <v>8.380116142759042E-2</v>
      </c>
      <c r="F7" s="17">
        <v>3.3532044287294671E-2</v>
      </c>
      <c r="G7" s="17">
        <v>1.0164615809580399E-2</v>
      </c>
      <c r="H7" s="17">
        <v>5.8736901245392575E-2</v>
      </c>
      <c r="I7" s="17">
        <v>7.5182050692320007E-2</v>
      </c>
      <c r="J7" s="17">
        <v>6.6666666666666666E-2</v>
      </c>
      <c r="K7" s="27" t="n">
        <v>0.071</v>
      </c>
      <c r="N7" s="91" t="n">
        <f>'LLT Product Mix'!B13*J7*1000000</f>
        <v>66000</v>
      </c>
      <c r="O7" s="91" t="n">
        <f>'LLT Product Mix'!B13*K7*1000000</f>
        <v>70289.99999999999</v>
      </c>
    </row>
    <row r="8">
      <c r="B8" s="89" t="n">
        <v>45962</v>
      </c>
      <c r="C8" s="15">
        <v>0.10244035838401207</v>
      </c>
      <c r="D8" s="16"/>
      <c r="E8" s="17">
        <v>0.10475145178448803</v>
      </c>
      <c r="F8" s="17">
        <v>4.1915055359118346E-2</v>
      </c>
      <c r="G8" s="17">
        <v>1.2705769761975499E-2</v>
      </c>
      <c r="H8" s="17">
        <v>7.3421126556740712E-2</v>
      </c>
      <c r="I8" s="17">
        <v>9.397756336540003E-2</v>
      </c>
      <c r="J8" s="17">
        <v>8.3333333333333329E-2</v>
      </c>
      <c r="K8" s="27" t="n">
        <v>0.088</v>
      </c>
      <c r="N8" s="91" t="n">
        <f>'LLT Product Mix'!B14*J8*1000000</f>
        <v>83333.33333333333</v>
      </c>
      <c r="O8" s="91" t="n">
        <f>'LLT Product Mix'!B14*K8*1000000</f>
        <v>88000</v>
      </c>
    </row>
    <row r="9">
      <c r="B9" s="89" t="n">
        <v>45992</v>
      </c>
      <c r="C9" s="15">
        <v>0.12458514550469507</v>
      </c>
      <c r="D9" s="16"/>
      <c r="E9" s="17">
        <v>0.12570174214138563</v>
      </c>
      <c r="F9" s="17">
        <v>5.0298066430942021E-2</v>
      </c>
      <c r="G9" s="17">
        <v>1.5246923714370598E-2</v>
      </c>
      <c r="H9" s="17">
        <v>8.8105351868088849E-2</v>
      </c>
      <c r="I9" s="17">
        <v>0.11277307603848005</v>
      </c>
      <c r="J9" s="17">
        <v>9.9999999999999992E-2</v>
      </c>
      <c r="K9" s="27" t="n">
        <v>0.104</v>
      </c>
      <c r="N9" s="91" t="n">
        <f>'LLT Product Mix'!B15*J9*1000000</f>
        <v>100999.99999999999</v>
      </c>
      <c r="O9" s="91" t="n">
        <f>'LLT Product Mix'!B15*K9*1000000</f>
        <v>105040</v>
      </c>
    </row>
    <row r="10">
      <c r="B10" s="14" t="s">
        <v>71</v>
      </c>
      <c r="C10" s="15">
        <v>0.14106942814008797</v>
      </c>
      <c r="D10" s="16"/>
      <c r="E10" s="17">
        <v>0.14665203249828324</v>
      </c>
      <c r="F10" s="17">
        <v>5.8681077502765695E-2</v>
      </c>
      <c r="G10" s="17">
        <v>1.7788077666765698E-2</v>
      </c>
      <c r="H10" s="17">
        <v>0.10278957717943699</v>
      </c>
      <c r="I10" s="17">
        <v>0.13156858871156007</v>
      </c>
      <c r="J10" s="17">
        <v>0.11666666666666665</v>
      </c>
    </row>
    <row r="11">
      <c r="B11" s="14" t="s">
        <v>72</v>
      </c>
      <c r="C11" s="15">
        <v>0.16899362276834914</v>
      </c>
      <c r="D11" s="16"/>
      <c r="E11" s="17">
        <v>0.16760232285518084</v>
      </c>
      <c r="F11" s="17">
        <v>6.706408857458937E-2</v>
      </c>
      <c r="G11" s="17">
        <v>2.0329231619160795E-2</v>
      </c>
      <c r="H11" s="17">
        <v>0.11747380249078512</v>
      </c>
      <c r="I11" s="17">
        <v>0.1503641013846401</v>
      </c>
      <c r="J11" s="17">
        <v>0.13333333333333333</v>
      </c>
    </row>
    <row r="12">
      <c r="B12" s="14" t="s">
        <v>73</v>
      </c>
      <c r="C12" s="15">
        <v>0.18086951250960706</v>
      </c>
      <c r="D12" s="16"/>
      <c r="E12" s="17">
        <v>0.18855261321207845</v>
      </c>
      <c r="F12" s="17">
        <v>7.5447099646413052E-2</v>
      </c>
      <c r="G12" s="17">
        <v>2.2870385571555893E-2</v>
      </c>
      <c r="H12" s="17">
        <v>0.13215802780213326</v>
      </c>
      <c r="I12" s="17">
        <v>0.16915961405772012</v>
      </c>
      <c r="J12" s="17">
        <v>0.15</v>
      </c>
    </row>
    <row r="13">
      <c r="B13" s="14" t="s">
        <v>74</v>
      </c>
      <c r="C13" s="15">
        <v>0.23207708077500677</v>
      </c>
      <c r="D13" s="16"/>
      <c r="E13" s="17">
        <v>0.20950290356897605</v>
      </c>
      <c r="F13" s="17">
        <v>8.3830110718236733E-2</v>
      </c>
      <c r="G13" s="17">
        <v>2.5411539523950991E-2</v>
      </c>
      <c r="H13" s="17">
        <v>0.1468422531134814</v>
      </c>
      <c r="I13" s="17">
        <v>0.18795512673080014</v>
      </c>
      <c r="J13" s="17">
        <v>0.16666666666666666</v>
      </c>
    </row>
    <row r="14">
      <c r="B14" s="14" t="s">
        <v>75</v>
      </c>
      <c r="C14" s="15">
        <v>0.21015208408946234</v>
      </c>
      <c r="D14" s="16"/>
      <c r="E14" s="17">
        <v>0.23045319392587366</v>
      </c>
      <c r="F14" s="17">
        <v>9.2213121790060415E-2</v>
      </c>
      <c r="G14" s="17">
        <v>2.7952693476346088E-2</v>
      </c>
      <c r="H14" s="17">
        <v>0.16152647842482953</v>
      </c>
      <c r="I14" s="17">
        <v>0.20675063940388017</v>
      </c>
      <c r="J14" s="17">
        <v>0.18333333333333332</v>
      </c>
    </row>
    <row r="15">
      <c r="B15" s="14" t="s">
        <v>76</v>
      </c>
      <c r="C15" s="15">
        <v>0.20633277488869373</v>
      </c>
      <c r="D15" s="16"/>
      <c r="E15" s="17">
        <v>0.25140348428277126</v>
      </c>
      <c r="F15" s="17">
        <v>0.1005961328618841</v>
      </c>
      <c r="G15" s="17">
        <v>3.0493847428741186E-2</v>
      </c>
      <c r="H15" s="17">
        <v>0.17621070373617767</v>
      </c>
      <c r="I15" s="17">
        <v>0.22554615207696019</v>
      </c>
      <c r="J15" s="17">
        <v>0.19999999999999998</v>
      </c>
    </row>
    <row r="16">
      <c r="B16" s="14" t="s">
        <v>77</v>
      </c>
      <c r="C16" s="15">
        <v>0.24325756799197379</v>
      </c>
      <c r="D16" s="16"/>
      <c r="E16" s="17">
        <v>0.28035576306935805</v>
      </c>
      <c r="F16" s="17">
        <v>0.11059276912790356</v>
      </c>
      <c r="G16" s="17">
        <v>4.3458749628656784E-2</v>
      </c>
      <c r="H16" s="17">
        <v>0.20028715818386639</v>
      </c>
      <c r="I16" s="17">
        <v>0.24903213966413784</v>
      </c>
      <c r="J16" s="17">
        <v>0.21666666666666665</v>
      </c>
    </row>
    <row r="17">
      <c r="B17" s="14" t="s">
        <v>78</v>
      </c>
      <c r="C17" s="15">
        <v>0.23764030096933392</v>
      </c>
      <c r="D17" s="16"/>
      <c r="E17" s="17">
        <v>0.30930804185594452</v>
      </c>
      <c r="F17" s="17">
        <v>0.12058940539392307</v>
      </c>
      <c r="G17" s="17">
        <v>5.6423651828572348E-2</v>
      </c>
      <c r="H17" s="17">
        <v>0.22436361263155508</v>
      </c>
      <c r="I17" s="17">
        <v>0.27251812725131552</v>
      </c>
      <c r="J17" s="17">
        <v>0.23333333333333331</v>
      </c>
    </row>
    <row r="18">
      <c r="B18" s="14" t="s">
        <v>79</v>
      </c>
      <c r="C18" s="15">
        <v>0.24834877921903614</v>
      </c>
      <c r="D18" s="15">
        <v>0.44293257115797663</v>
      </c>
      <c r="E18" s="17">
        <v>0.33826032064253098</v>
      </c>
      <c r="F18" s="17">
        <v>0.13058604165994259</v>
      </c>
      <c r="G18" s="17">
        <v>6.9388554028487912E-2</v>
      </c>
      <c r="H18" s="17">
        <v>0.24844006707924376</v>
      </c>
      <c r="I18" s="17">
        <v>0.2960041148384932</v>
      </c>
      <c r="J18" s="17">
        <v>0.24999999999999997</v>
      </c>
    </row>
    <row r="19">
      <c r="B19" s="14" t="s">
        <v>80</v>
      </c>
      <c r="C19" s="15">
        <v>0.28788583569076642</v>
      </c>
      <c r="D19" s="15">
        <v>0.42461330311691386</v>
      </c>
      <c r="E19" s="17">
        <v>0.36721259942911744</v>
      </c>
      <c r="F19" s="17">
        <v>0.1405826779259621</v>
      </c>
      <c r="G19" s="17">
        <v>8.2353456228403482E-2</v>
      </c>
      <c r="H19" s="17">
        <v>0.27251652152693245</v>
      </c>
      <c r="I19" s="17">
        <v>0.31949010242567089</v>
      </c>
      <c r="J19" s="17">
        <v>0.26666666666666666</v>
      </c>
    </row>
    <row r="20">
      <c r="B20" s="14" t="s">
        <v>81</v>
      </c>
      <c r="C20" s="15">
        <v>0.31557582739633899</v>
      </c>
      <c r="D20" s="15">
        <v>0.4884662348424631</v>
      </c>
      <c r="E20" s="17">
        <v>0.3961648782157039</v>
      </c>
      <c r="F20" s="17">
        <v>0.15057931419198162</v>
      </c>
      <c r="G20" s="17">
        <v>9.5318358428319053E-2</v>
      </c>
      <c r="H20" s="17">
        <v>0.29659297597462114</v>
      </c>
      <c r="I20" s="17">
        <v>0.34297609001284857</v>
      </c>
      <c r="J20" s="17">
        <v>0.28333333333333333</v>
      </c>
    </row>
    <row r="21">
      <c r="B21" s="14" t="s">
        <v>82</v>
      </c>
      <c r="C21" s="15">
        <v>0.36625733986616116</v>
      </c>
      <c r="D21" s="15">
        <v>0.48194692959461516</v>
      </c>
      <c r="E21" s="17">
        <v>0.42511715700229036</v>
      </c>
      <c r="F21" s="17">
        <v>0.16057595045800113</v>
      </c>
      <c r="G21" s="17">
        <v>0.10828326062823462</v>
      </c>
      <c r="H21" s="17">
        <v>0.32066943042230983</v>
      </c>
      <c r="I21" s="17">
        <v>0.36646207760002625</v>
      </c>
      <c r="J21" s="17">
        <v>0.3</v>
      </c>
    </row>
    <row r="22">
      <c r="B22" s="14" t="s">
        <v>83</v>
      </c>
      <c r="C22" s="15">
        <v>0.39845123393113063</v>
      </c>
      <c r="D22" s="15">
        <v>0.48742985675387712</v>
      </c>
      <c r="E22" s="17">
        <v>0.45406943578887682</v>
      </c>
      <c r="F22" s="17">
        <v>0.17057258672402065</v>
      </c>
      <c r="G22" s="17">
        <v>0.12124816282815019</v>
      </c>
      <c r="H22" s="17">
        <v>0.34474588486999852</v>
      </c>
      <c r="I22" s="17">
        <v>0.38994806518720393</v>
      </c>
      <c r="J22" s="17">
        <v>0.31666666666666665</v>
      </c>
    </row>
    <row r="23">
      <c r="B23" s="14" t="s">
        <v>84</v>
      </c>
      <c r="C23" s="15">
        <v>0.41844495728496567</v>
      </c>
      <c r="D23" s="15">
        <v>0.53067767085524864</v>
      </c>
      <c r="E23" s="17">
        <v>0.48302171457546328</v>
      </c>
      <c r="F23" s="17">
        <v>0.18056922299004016</v>
      </c>
      <c r="G23" s="17">
        <v>0.13421306502806576</v>
      </c>
      <c r="H23" s="17">
        <v>0.36882233931768721</v>
      </c>
      <c r="I23" s="17">
        <v>0.41343405277438161</v>
      </c>
      <c r="J23" s="17">
        <v>0.33333333333333331</v>
      </c>
    </row>
    <row r="24">
      <c r="B24" s="14" t="s">
        <v>85</v>
      </c>
      <c r="C24" s="15">
        <v>0.44069783806227414</v>
      </c>
      <c r="D24" s="15">
        <v>0.54853422178626399</v>
      </c>
      <c r="E24" s="17">
        <v>0.51197399336204974</v>
      </c>
      <c r="F24" s="17">
        <v>0.19056585925605968</v>
      </c>
      <c r="G24" s="17">
        <v>0.14717796722798132</v>
      </c>
      <c r="H24" s="17">
        <v>0.3928987937653759</v>
      </c>
      <c r="I24" s="17">
        <v>0.43692004036155929</v>
      </c>
      <c r="J24" s="17">
        <v>0.35</v>
      </c>
    </row>
    <row r="25">
      <c r="B25" s="14" t="s">
        <v>86</v>
      </c>
      <c r="C25" s="15">
        <v>0.49721640798987476</v>
      </c>
      <c r="D25" s="15">
        <v>0.57886722251348743</v>
      </c>
      <c r="E25" s="17">
        <v>0.5409262721486362</v>
      </c>
      <c r="F25" s="17">
        <v>0.20056249552207919</v>
      </c>
      <c r="G25" s="17">
        <v>0.16014286942789688</v>
      </c>
      <c r="H25" s="17">
        <v>0.41697524821306459</v>
      </c>
      <c r="I25" s="17">
        <v>0.46040602794873697</v>
      </c>
      <c r="J25" s="17">
        <v>0.36666666666666664</v>
      </c>
    </row>
    <row r="26">
      <c r="B26" s="14" t="s">
        <v>87</v>
      </c>
      <c r="C26" s="15">
        <v>0.45872065374363707</v>
      </c>
      <c r="D26" s="15">
        <v>0.58679970911058876</v>
      </c>
      <c r="E26" s="17">
        <v>0.56987855093522266</v>
      </c>
      <c r="F26" s="17">
        <v>0.21055913178809871</v>
      </c>
      <c r="G26" s="17">
        <v>0.17310777162781243</v>
      </c>
      <c r="H26" s="17">
        <v>0.44105170266075328</v>
      </c>
      <c r="I26" s="17">
        <v>0.48389201553591465</v>
      </c>
      <c r="J26" s="17">
        <v>0.3833333333333333</v>
      </c>
    </row>
    <row r="27">
      <c r="B27" s="14" t="s">
        <v>88</v>
      </c>
      <c r="C27" s="15">
        <v>0.45947370621812822</v>
      </c>
      <c r="D27" s="15">
        <v>0.60646992169662939</v>
      </c>
      <c r="E27" s="17">
        <v>0.59883082972180912</v>
      </c>
      <c r="F27" s="17">
        <v>0.22055576805411822</v>
      </c>
      <c r="G27" s="17">
        <v>0.18607267382772799</v>
      </c>
      <c r="H27" s="17">
        <v>0.46512815710844196</v>
      </c>
      <c r="I27" s="17">
        <v>0.50737800312309234</v>
      </c>
      <c r="J27" s="17">
        <v>0.39999999999999997</v>
      </c>
    </row>
    <row r="28">
      <c r="B28" s="14" t="s">
        <v>89</v>
      </c>
      <c r="C28" s="15">
        <v>0.55089932099199912</v>
      </c>
      <c r="D28" s="15">
        <v>0.62413840924081243</v>
      </c>
      <c r="E28" s="17">
        <v>0.6100118082094721</v>
      </c>
      <c r="F28" s="17">
        <v>0.23784460533294302</v>
      </c>
      <c r="G28" s="17">
        <v>0.20100214467011696</v>
      </c>
      <c r="H28" s="17">
        <v>0.48288330084359787</v>
      </c>
      <c r="I28" s="17">
        <v>0.52394302373907642</v>
      </c>
      <c r="J28" s="17">
        <v>0.41666666666666663</v>
      </c>
    </row>
    <row r="29">
      <c r="B29" s="14" t="s">
        <v>90</v>
      </c>
      <c r="C29" s="15">
        <v>0.50743846478476218</v>
      </c>
      <c r="D29" s="15">
        <v>0.65529401816367605</v>
      </c>
      <c r="E29" s="17">
        <v>0.62119278669713462</v>
      </c>
      <c r="F29" s="17">
        <v>0.25513344261176807</v>
      </c>
      <c r="G29" s="17">
        <v>0.21593161551250586</v>
      </c>
      <c r="H29" s="17">
        <v>0.50063844457875406</v>
      </c>
      <c r="I29" s="17">
        <v>0.54050804435505995</v>
      </c>
      <c r="J29" s="17">
        <v>0.43333333333333329</v>
      </c>
    </row>
    <row r="30">
      <c r="B30" s="14" t="s">
        <v>91</v>
      </c>
      <c r="C30" s="15">
        <v>0.53454475074455687</v>
      </c>
      <c r="D30" s="15">
        <v>0.64944240558778266</v>
      </c>
      <c r="E30" s="17">
        <v>0.63237376518479715</v>
      </c>
      <c r="F30" s="17">
        <v>0.27242227989059314</v>
      </c>
      <c r="G30" s="17">
        <v>0.23086108635489477</v>
      </c>
      <c r="H30" s="17">
        <v>0.51839358831391025</v>
      </c>
      <c r="I30" s="17">
        <v>0.55707306497104347</v>
      </c>
      <c r="J30" s="17">
        <v>0.44999999999999996</v>
      </c>
    </row>
    <row r="31">
      <c r="B31" s="14" t="s">
        <v>92</v>
      </c>
      <c r="C31" s="15">
        <v>0.57992967403972817</v>
      </c>
      <c r="D31" s="15">
        <v>0.61612136176833698</v>
      </c>
      <c r="E31" s="17">
        <v>0.64355474367245968</v>
      </c>
      <c r="F31" s="17">
        <v>0.28971111716941822</v>
      </c>
      <c r="G31" s="17">
        <v>0.24579055719728368</v>
      </c>
      <c r="H31" s="17">
        <v>0.53614873204906643</v>
      </c>
      <c r="I31" s="17">
        <v>0.573638085587027</v>
      </c>
      <c r="J31" s="17">
        <v>0.46666666666666662</v>
      </c>
    </row>
    <row r="32">
      <c r="B32" s="14" t="s">
        <v>93</v>
      </c>
      <c r="C32" s="15">
        <v>0.58052418915116855</v>
      </c>
      <c r="D32" s="15">
        <v>0.68798051717431374</v>
      </c>
      <c r="E32" s="17">
        <v>0.65473572216012221</v>
      </c>
      <c r="F32" s="17">
        <v>0.3069999544482433</v>
      </c>
      <c r="G32" s="17">
        <v>0.26072002803967259</v>
      </c>
      <c r="H32" s="17">
        <v>0.55390387578422262</v>
      </c>
      <c r="I32" s="17">
        <v>0.59020310620301053</v>
      </c>
      <c r="J32" s="17">
        <v>0.48333333333333328</v>
      </c>
    </row>
    <row r="33">
      <c r="B33" s="14" t="s">
        <v>94</v>
      </c>
      <c r="C33" s="15">
        <v>0.65922357741832738</v>
      </c>
      <c r="D33" s="15">
        <v>0.66110233557137787</v>
      </c>
      <c r="E33" s="17">
        <v>0.66591670064778474</v>
      </c>
      <c r="F33" s="17">
        <v>0.32428879172706837</v>
      </c>
      <c r="G33" s="17">
        <v>0.27564949888206147</v>
      </c>
      <c r="H33" s="17">
        <v>0.57165901951937881</v>
      </c>
      <c r="I33" s="17">
        <v>0.60676812681899406</v>
      </c>
      <c r="J33" s="17">
        <v>0.49999999999999994</v>
      </c>
    </row>
    <row r="34">
      <c r="B34" s="14" t="s">
        <v>95</v>
      </c>
      <c r="C34" s="15">
        <v>0.64183130806728006</v>
      </c>
      <c r="D34" s="15">
        <v>0.68771059886011943</v>
      </c>
      <c r="E34" s="17">
        <v>0.67709767913544727</v>
      </c>
      <c r="F34" s="17">
        <v>0.34157762900589345</v>
      </c>
      <c r="G34" s="17">
        <v>0.29057896972445035</v>
      </c>
      <c r="H34" s="17">
        <v>0.589414163254535</v>
      </c>
      <c r="I34" s="17">
        <v>0.62333314743497759</v>
      </c>
      <c r="J34" s="17">
        <v>0.51666666666666661</v>
      </c>
    </row>
    <row r="35">
      <c r="B35" s="14" t="s">
        <v>96</v>
      </c>
      <c r="C35" s="15">
        <v>0.67026354288168122</v>
      </c>
      <c r="D35" s="15">
        <v>0.69718615231104875</v>
      </c>
      <c r="E35" s="17">
        <v>0.6882786576231098</v>
      </c>
      <c r="F35" s="17">
        <v>0.35886646628471852</v>
      </c>
      <c r="G35" s="17">
        <v>0.30550844056683923</v>
      </c>
      <c r="H35" s="17">
        <v>0.60716930698969118</v>
      </c>
      <c r="I35" s="17">
        <v>0.63989816805096111</v>
      </c>
      <c r="J35" s="17">
        <v>0.53333333333333333</v>
      </c>
    </row>
    <row r="36">
      <c r="B36" s="14" t="s">
        <v>97</v>
      </c>
      <c r="C36" s="15">
        <v>0.68502553325484072</v>
      </c>
      <c r="D36" s="15">
        <v>0.68207207969016892</v>
      </c>
      <c r="E36" s="17">
        <v>0.69945963611077233</v>
      </c>
      <c r="F36" s="17">
        <v>0.3761553035635436</v>
      </c>
      <c r="G36" s="17">
        <v>0.32043791140922812</v>
      </c>
      <c r="H36" s="17">
        <v>0.62492445072484737</v>
      </c>
      <c r="I36" s="17">
        <v>0.65646318866694464</v>
      </c>
      <c r="J36" s="17">
        <v>0.55000000000000004</v>
      </c>
    </row>
    <row r="37">
      <c r="B37" s="14" t="s">
        <v>98</v>
      </c>
      <c r="C37" s="15">
        <v>0.74990694908336963</v>
      </c>
      <c r="D37" s="15">
        <v>0.71765597253462765</v>
      </c>
      <c r="E37" s="17">
        <v>0.71064061459843486</v>
      </c>
      <c r="F37" s="17">
        <v>0.39344414084236867</v>
      </c>
      <c r="G37" s="17">
        <v>0.335367382251617</v>
      </c>
      <c r="H37" s="17">
        <v>0.64267959446000356</v>
      </c>
      <c r="I37" s="17">
        <v>0.67302820928292817</v>
      </c>
      <c r="J37" s="17">
        <v>0.56666666666666676</v>
      </c>
    </row>
    <row r="38">
      <c r="B38" s="14" t="s">
        <v>99</v>
      </c>
      <c r="C38" s="15">
        <v>0.6485439241437253</v>
      </c>
      <c r="D38" s="15">
        <v>0.69012971638282394</v>
      </c>
      <c r="E38" s="17">
        <v>0.72182159308609739</v>
      </c>
      <c r="F38" s="17">
        <v>0.41073297812119375</v>
      </c>
      <c r="G38" s="17">
        <v>0.35029685309400588</v>
      </c>
      <c r="H38" s="17">
        <v>0.66043473819515974</v>
      </c>
      <c r="I38" s="17">
        <v>0.6895932298989117</v>
      </c>
      <c r="J38" s="17">
        <v>0.58333333333333348</v>
      </c>
    </row>
    <row r="39">
      <c r="B39" s="14" t="s">
        <v>100</v>
      </c>
      <c r="C39" s="15">
        <v>0.62013330806064926</v>
      </c>
      <c r="D39" s="15">
        <v>0.70777587985590829</v>
      </c>
      <c r="E39" s="17">
        <v>0.73300257157375992</v>
      </c>
      <c r="F39" s="17">
        <v>0.42802181540001882</v>
      </c>
      <c r="G39" s="17">
        <v>0.36522632393639476</v>
      </c>
      <c r="H39" s="17">
        <v>0.67818988193031593</v>
      </c>
      <c r="I39" s="17">
        <v>0.706158250514895</v>
      </c>
      <c r="J39" s="17">
        <v>0.6000000000000002</v>
      </c>
    </row>
    <row r="40">
      <c r="B40" s="14" t="s">
        <v>101</v>
      </c>
      <c r="C40" s="15">
        <v>0.71361990855418012</v>
      </c>
      <c r="D40" s="15">
        <v>0.70568485852965546</v>
      </c>
      <c r="E40" s="17">
        <v>0.74169227310291663</v>
      </c>
      <c r="F40" s="17">
        <v>0.44662524432565914</v>
      </c>
      <c r="G40" s="17">
        <v>0.38274144477279015</v>
      </c>
      <c r="H40" s="17">
        <v>0.68481693665778542</v>
      </c>
      <c r="I40" s="17">
        <v>0.71623170774588063</v>
      </c>
      <c r="J40" s="17">
        <v>0.61666666666666692</v>
      </c>
    </row>
    <row r="41">
      <c r="B41" s="14" t="s">
        <v>102</v>
      </c>
      <c r="C41" s="15">
        <v>0.67491157011657887</v>
      </c>
      <c r="D41" s="15">
        <v>0.7336887145055726</v>
      </c>
      <c r="E41" s="17">
        <v>0.75038197463207301</v>
      </c>
      <c r="F41" s="17">
        <v>0.46522867325129924</v>
      </c>
      <c r="G41" s="17">
        <v>0.40025656560918543</v>
      </c>
      <c r="H41" s="17">
        <v>0.6914439913852547</v>
      </c>
      <c r="I41" s="17">
        <v>0.72630516497686548</v>
      </c>
      <c r="J41" s="17">
        <v>0.63333333333333364</v>
      </c>
    </row>
    <row r="42">
      <c r="B42" s="14" t="s">
        <v>103</v>
      </c>
      <c r="C42" s="15">
        <v>0.72888993911347955</v>
      </c>
      <c r="D42" s="15">
        <v>0.75552300901418934</v>
      </c>
      <c r="E42" s="17">
        <v>0.75907167616122939</v>
      </c>
      <c r="F42" s="17">
        <v>0.48383210217693934</v>
      </c>
      <c r="G42" s="17">
        <v>0.41777168644558071</v>
      </c>
      <c r="H42" s="17">
        <v>0.69807104611272397</v>
      </c>
      <c r="I42" s="17">
        <v>0.73637862220785033</v>
      </c>
      <c r="J42" s="17">
        <v>0.65000000000000036</v>
      </c>
    </row>
    <row r="43">
      <c r="B43" s="14" t="s">
        <v>104</v>
      </c>
      <c r="C43" s="15">
        <v>0.74336007661375014</v>
      </c>
      <c r="D43" s="15">
        <v>0.7003034044208426</v>
      </c>
      <c r="E43" s="17">
        <v>0.76776137769038577</v>
      </c>
      <c r="F43" s="17">
        <v>0.50243553110257944</v>
      </c>
      <c r="G43" s="17">
        <v>0.435286807281976</v>
      </c>
      <c r="H43" s="17">
        <v>0.70469810084019324</v>
      </c>
      <c r="I43" s="17">
        <v>0.74645207943883518</v>
      </c>
      <c r="J43" s="17">
        <v>0.66666666666666707</v>
      </c>
    </row>
    <row r="44">
      <c r="B44" s="14" t="s">
        <v>105</v>
      </c>
      <c r="C44" s="15">
        <v>0.72850440507151526</v>
      </c>
      <c r="D44" s="15">
        <v>0.79352263694633762</v>
      </c>
      <c r="E44" s="17">
        <v>0.77645107921954215</v>
      </c>
      <c r="F44" s="17">
        <v>0.52103896002821948</v>
      </c>
      <c r="G44" s="17">
        <v>0.45280192811837128</v>
      </c>
      <c r="H44" s="17">
        <v>0.71132515556766251</v>
      </c>
      <c r="I44" s="17">
        <v>0.75652553666982003</v>
      </c>
      <c r="J44" s="17">
        <v>0.68333333333333379</v>
      </c>
    </row>
    <row r="45">
      <c r="B45" s="14" t="s">
        <v>106</v>
      </c>
      <c r="C45" s="15">
        <v>0.79458205736669996</v>
      </c>
      <c r="D45" s="15">
        <v>0.73975274400040592</v>
      </c>
      <c r="E45" s="17">
        <v>0.78514078074869853</v>
      </c>
      <c r="F45" s="17">
        <v>0.53964238895385952</v>
      </c>
      <c r="G45" s="17">
        <v>0.47031704895476656</v>
      </c>
      <c r="H45" s="17">
        <v>0.71795221029513179</v>
      </c>
      <c r="I45" s="17">
        <v>0.76659899390080488</v>
      </c>
      <c r="J45" s="17">
        <v>0.70000000000000051</v>
      </c>
    </row>
    <row r="46">
      <c r="B46" s="14" t="s">
        <v>107</v>
      </c>
      <c r="C46" s="15">
        <v>0.74455270995851852</v>
      </c>
      <c r="D46" s="15">
        <v>0.81787413959309307</v>
      </c>
      <c r="E46" s="17">
        <v>0.79383048227785491</v>
      </c>
      <c r="F46" s="17">
        <v>0.55824581787949956</v>
      </c>
      <c r="G46" s="17">
        <v>0.48783216979116184</v>
      </c>
      <c r="H46" s="17">
        <v>0.72457926502260106</v>
      </c>
      <c r="I46" s="17">
        <v>0.77667245113178973</v>
      </c>
      <c r="J46" s="17">
        <v>0.71666666666666723</v>
      </c>
    </row>
    <row r="47">
      <c r="B47" s="14" t="s">
        <v>108</v>
      </c>
      <c r="C47" s="15">
        <v>0.82206306800279649</v>
      </c>
      <c r="D47" s="15">
        <v>0.80549780987332786</v>
      </c>
      <c r="E47" s="17">
        <v>0.80252018380701129</v>
      </c>
      <c r="F47" s="17">
        <v>0.5768492468051396</v>
      </c>
      <c r="G47" s="17">
        <v>0.50534729062755712</v>
      </c>
      <c r="H47" s="17">
        <v>0.73120631975007033</v>
      </c>
      <c r="I47" s="17">
        <v>0.78674590836277458</v>
      </c>
      <c r="J47" s="17">
        <v>0.73333333333333395</v>
      </c>
    </row>
    <row r="48">
      <c r="B48" s="14" t="s">
        <v>109</v>
      </c>
      <c r="C48" s="15">
        <v>0.82242698331343578</v>
      </c>
      <c r="D48" s="15">
        <v>0.80277494968627916</v>
      </c>
      <c r="E48" s="17">
        <v>0.81120988533616767</v>
      </c>
      <c r="F48" s="17">
        <v>0.59545267573077965</v>
      </c>
      <c r="G48" s="17">
        <v>0.5228624114639524</v>
      </c>
      <c r="H48" s="17">
        <v>0.73783337447753961</v>
      </c>
      <c r="I48" s="17">
        <v>0.79681936559375943</v>
      </c>
      <c r="J48" s="17">
        <v>0.75000000000000067</v>
      </c>
    </row>
    <row r="49">
      <c r="B49" s="14" t="s">
        <v>110</v>
      </c>
      <c r="C49" s="15">
        <v>0.87215366848306575</v>
      </c>
      <c r="D49" s="15">
        <v>0.85073449576350013</v>
      </c>
      <c r="E49" s="17">
        <v>0.81989958686532405</v>
      </c>
      <c r="F49" s="17">
        <v>0.61405610465641969</v>
      </c>
      <c r="G49" s="17">
        <v>0.54037753230034768</v>
      </c>
      <c r="H49" s="17">
        <v>0.74446042920500888</v>
      </c>
      <c r="I49" s="17">
        <v>0.80689282282474428</v>
      </c>
      <c r="J49" s="17">
        <v>0.76666666666666738</v>
      </c>
    </row>
    <row r="50">
      <c r="B50" s="14" t="s">
        <v>111</v>
      </c>
      <c r="C50" s="15">
        <v>0.83163295973604312</v>
      </c>
      <c r="D50" s="15">
        <v>0.81699876541121952</v>
      </c>
      <c r="E50" s="17">
        <v>0.82858928839448043</v>
      </c>
      <c r="F50" s="17">
        <v>0.63265953358205973</v>
      </c>
      <c r="G50" s="17">
        <v>0.55789265313674297</v>
      </c>
      <c r="H50" s="17">
        <v>0.75108748393247815</v>
      </c>
      <c r="I50" s="17">
        <v>0.81696628005572913</v>
      </c>
      <c r="J50" s="17">
        <v>0.7833333333333341</v>
      </c>
    </row>
    <row r="51">
      <c r="B51" s="14" t="s">
        <v>112</v>
      </c>
      <c r="C51" s="15">
        <v>0.77980565450599038</v>
      </c>
      <c r="D51" s="15">
        <v>0.86768049518848622</v>
      </c>
      <c r="E51" s="17">
        <v>0.83727898992363681</v>
      </c>
      <c r="F51" s="17">
        <v>0.65126296250769977</v>
      </c>
      <c r="G51" s="17">
        <v>0.57540777397313825</v>
      </c>
      <c r="H51" s="17">
        <v>0.75771453865994742</v>
      </c>
      <c r="I51" s="17">
        <v>0.82703973728671409</v>
      </c>
      <c r="J51" s="17">
        <v>0.80000000000000082</v>
      </c>
    </row>
    <row r="52">
      <c r="B52" s="14" t="s">
        <v>113</v>
      </c>
      <c r="C52" s="15">
        <v>0.85980181729603977</v>
      </c>
      <c r="D52" s="15">
        <v>0.85633039625226204</v>
      </c>
      <c r="E52" s="17">
        <v>0.85083907409666748</v>
      </c>
      <c r="F52" s="17">
        <v>0.68032438229872438</v>
      </c>
      <c r="G52" s="17">
        <v>0.61079045947537713</v>
      </c>
      <c r="H52" s="17">
        <v>0.77790499377161837</v>
      </c>
      <c r="I52" s="17">
        <v>0.84145309251282074</v>
      </c>
      <c r="J52" s="17">
        <v>0.81666666666666754</v>
      </c>
    </row>
    <row r="53">
      <c r="B53" s="14" t="s">
        <v>114</v>
      </c>
      <c r="C53" s="15">
        <v>0.81316424548194999</v>
      </c>
      <c r="D53" s="15">
        <v>0.87661418255001777</v>
      </c>
      <c r="E53" s="17">
        <v>0.86439915826969771</v>
      </c>
      <c r="F53" s="17">
        <v>0.70938580208974944</v>
      </c>
      <c r="G53" s="17">
        <v>0.64617314497761558</v>
      </c>
      <c r="H53" s="17">
        <v>0.79809544888328943</v>
      </c>
      <c r="I53" s="17">
        <v>0.85586644773892795</v>
      </c>
      <c r="J53" s="17">
        <v>0.83333333333333426</v>
      </c>
    </row>
    <row r="54">
      <c r="B54" s="14" t="s">
        <v>115</v>
      </c>
      <c r="C54" s="15">
        <v>0.87819984664986195</v>
      </c>
      <c r="D54" s="15">
        <v>0.93628845405807637</v>
      </c>
      <c r="E54" s="17">
        <v>0.87795924244272794</v>
      </c>
      <c r="F54" s="17">
        <v>0.7384472218807745</v>
      </c>
      <c r="G54" s="17">
        <v>0.68155583047985402</v>
      </c>
      <c r="H54" s="17">
        <v>0.81828590399496048</v>
      </c>
      <c r="I54" s="17">
        <v>0.87027980296503515</v>
      </c>
      <c r="J54" s="17">
        <v>0.85000000000000098</v>
      </c>
    </row>
    <row r="55">
      <c r="B55" s="14" t="s">
        <v>116</v>
      </c>
      <c r="C55" s="15">
        <v>0.89563412835938305</v>
      </c>
      <c r="D55" s="15">
        <v>0.84090175717499027</v>
      </c>
      <c r="E55" s="17">
        <v>0.89151932661575817</v>
      </c>
      <c r="F55" s="17">
        <v>0.76750864167179955</v>
      </c>
      <c r="G55" s="17">
        <v>0.71693851598209246</v>
      </c>
      <c r="H55" s="17">
        <v>0.83847635910663154</v>
      </c>
      <c r="I55" s="17">
        <v>0.88469315819114236</v>
      </c>
      <c r="J55" s="17">
        <v>0.8666666666666677</v>
      </c>
    </row>
    <row r="56">
      <c r="B56" s="14" t="s">
        <v>117</v>
      </c>
      <c r="C56" s="15">
        <v>0.87773533765013112</v>
      </c>
      <c r="D56" s="15">
        <v>0.93444029156589825</v>
      </c>
      <c r="E56" s="17">
        <v>0.9050794107887884</v>
      </c>
      <c r="F56" s="17">
        <v>0.79657006146282461</v>
      </c>
      <c r="G56" s="17">
        <v>0.7523212014843309</v>
      </c>
      <c r="H56" s="17">
        <v>0.8586668142183026</v>
      </c>
      <c r="I56" s="17">
        <v>0.89910651341724956</v>
      </c>
      <c r="J56" s="17">
        <v>0.88333333333333441</v>
      </c>
    </row>
    <row r="57">
      <c r="B57" s="14" t="s">
        <v>118</v>
      </c>
      <c r="C57" s="15">
        <v>0.95734870723950038</v>
      </c>
      <c r="D57" s="15">
        <v>0.90713524666407341</v>
      </c>
      <c r="E57" s="17">
        <v>0.91863949496181863</v>
      </c>
      <c r="F57" s="17">
        <v>0.82563148125384966</v>
      </c>
      <c r="G57" s="17">
        <v>0.78770388698656935</v>
      </c>
      <c r="H57" s="17">
        <v>0.87885726932997366</v>
      </c>
      <c r="I57" s="17">
        <v>0.91351986864335677</v>
      </c>
      <c r="J57" s="17">
        <v>0.90000000000000113</v>
      </c>
    </row>
    <row r="58">
      <c r="B58" s="14" t="s">
        <v>119</v>
      </c>
      <c r="C58" s="15">
        <v>0.89707106741462495</v>
      </c>
      <c r="D58" s="15">
        <v>0.95959546077220992</v>
      </c>
      <c r="E58" s="17">
        <v>0.93219957913484885</v>
      </c>
      <c r="F58" s="17">
        <v>0.85469290104487472</v>
      </c>
      <c r="G58" s="17">
        <v>0.82308657248880779</v>
      </c>
      <c r="H58" s="17">
        <v>0.89904772444164471</v>
      </c>
      <c r="I58" s="17">
        <v>0.92793322386946397</v>
      </c>
      <c r="J58" s="17">
        <v>0.91666666666666785</v>
      </c>
    </row>
    <row r="59">
      <c r="B59" s="14" t="s">
        <v>120</v>
      </c>
      <c r="C59" s="15">
        <v>0.99045908238853331</v>
      </c>
      <c r="D59" s="15">
        <v>0.93578244177983727</v>
      </c>
      <c r="E59" s="17">
        <v>0.94575966330787908</v>
      </c>
      <c r="F59" s="17">
        <v>0.88375432083589978</v>
      </c>
      <c r="G59" s="17">
        <v>0.85846925799104623</v>
      </c>
      <c r="H59" s="17">
        <v>0.91923817955331577</v>
      </c>
      <c r="I59" s="17">
        <v>0.94234657909557118</v>
      </c>
      <c r="J59" s="17">
        <v>0.93333333333333457</v>
      </c>
    </row>
    <row r="60">
      <c r="B60" s="14" t="s">
        <v>121</v>
      </c>
      <c r="C60" s="15">
        <v>0.99089754415463427</v>
      </c>
      <c r="D60" s="15">
        <v>0.96209710970927975</v>
      </c>
      <c r="E60" s="17">
        <v>0.95931974748090931</v>
      </c>
      <c r="F60" s="17">
        <v>0.91281574062692483</v>
      </c>
      <c r="G60" s="17">
        <v>0.89385194349328467</v>
      </c>
      <c r="H60" s="17">
        <v>0.93942863466498683</v>
      </c>
      <c r="I60" s="17">
        <v>0.95675993432167838</v>
      </c>
      <c r="J60" s="17">
        <v>0.95000000000000129</v>
      </c>
    </row>
    <row r="61">
      <c r="B61" s="14" t="s">
        <v>122</v>
      </c>
      <c r="C61" s="15">
        <v>0.99370174287631463</v>
      </c>
      <c r="D61" s="15">
        <v>0.97718953474606374</v>
      </c>
      <c r="E61" s="17">
        <v>0.97287983165393954</v>
      </c>
      <c r="F61" s="17">
        <v>0.94187716041794989</v>
      </c>
      <c r="G61" s="17">
        <v>0.92923462899552312</v>
      </c>
      <c r="H61" s="17">
        <v>0.95961908977665789</v>
      </c>
      <c r="I61" s="17">
        <v>0.97117328954778559</v>
      </c>
      <c r="J61" s="17">
        <v>0.96666666666666801</v>
      </c>
    </row>
    <row r="62">
      <c r="B62" s="14" t="s">
        <v>123</v>
      </c>
      <c r="C62" s="15">
        <v>0.99864352736124606</v>
      </c>
      <c r="D62" s="15">
        <v>0.90799641461888414</v>
      </c>
      <c r="E62" s="17">
        <v>0.98643991582696977</v>
      </c>
      <c r="F62" s="17">
        <v>0.97093858020897494</v>
      </c>
      <c r="G62" s="17">
        <v>0.96461731449776156</v>
      </c>
      <c r="H62" s="17">
        <v>0.97980954488832894</v>
      </c>
      <c r="I62" s="17">
        <v>0.98558664477389279</v>
      </c>
      <c r="J62" s="17">
        <v>0.98333333333333472</v>
      </c>
    </row>
    <row r="63">
      <c r="B63" s="14" t="s">
        <v>124</v>
      </c>
      <c r="C63" s="15">
        <v>1</v>
      </c>
      <c r="D63" s="15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</row>
  </sheetData>
  <pageMargins left="0.7" right="0.7" top="0.75" bottom="0.75" header="0.3" footer="0.3"/>
  <tableParts count="1">
    <tablePart xmlns:r="http://schemas.openxmlformats.org/officeDocument/2006/relationships" r:id="R30d9136455214842"/>
  </tableParts>
</worksheet>
</file>

<file path=xl/worksheets/sheet4.xml><?xml version="1.0" encoding="utf-8"?>
<worksheet xmlns="http://schemas.openxmlformats.org/spreadsheetml/2006/main">
  <sheetFormatPr defaultRowHeight="14.399999618530273"/>
  <cols>
    <col min="2" max="2" width="9.109375" customWidth="1"/>
    <col min="3" max="3" width="25" customWidth="1"/>
    <col min="4" max="4" width="20.109375" customWidth="1"/>
    <col min="5" max="5" width="22.5546875" customWidth="1"/>
    <col min="6" max="6" width="16.109375" customWidth="1"/>
  </cols>
  <sheetData>
    <row r="3" ht="57.599998474121094">
      <c r="B3" s="6" t="s">
        <v>59</v>
      </c>
      <c r="C3" s="6" t="s">
        <v>125</v>
      </c>
      <c r="D3" s="6" t="s">
        <v>126</v>
      </c>
      <c r="E3" s="6" t="s">
        <v>127</v>
      </c>
      <c r="H3" s="6" t="s">
        <v>59</v>
      </c>
      <c r="I3" s="31" t="s">
        <v>128</v>
      </c>
      <c r="J3" s="31" t="s">
        <v>129</v>
      </c>
      <c r="K3" s="31" t="s">
        <v>130</v>
      </c>
      <c r="L3" s="31" t="s">
        <v>131</v>
      </c>
      <c r="M3" s="31" t="s">
        <v>132</v>
      </c>
    </row>
    <row r="4">
      <c r="B4" s="92" t="n">
        <v>46174</v>
      </c>
      <c r="C4" s="93" t="n">
        <v>0.05</v>
      </c>
      <c r="D4" s="94" t="n">
        <v>0.91</v>
      </c>
      <c r="E4" s="93" t="n">
        <v>0.04</v>
      </c>
      <c r="H4" s="29">
        <v>46229</v>
      </c>
      <c r="I4" s="32">
        <v>1200</v>
      </c>
      <c r="J4" s="33">
        <v>0.57999999999999996</v>
      </c>
      <c r="K4" s="33">
        <v>0.78</v>
      </c>
      <c r="L4" s="30">
        <v>6.8</v>
      </c>
      <c r="M4" s="32">
        <v>1200</v>
      </c>
    </row>
    <row r="5">
      <c r="B5" s="92" t="n">
        <v>46204</v>
      </c>
      <c r="C5" s="93" t="n">
        <v>0.06</v>
      </c>
      <c r="D5" s="94" t="n">
        <v>0.9</v>
      </c>
      <c r="E5" s="93" t="n">
        <v>0.04</v>
      </c>
      <c r="H5" s="29">
        <v>46260</v>
      </c>
      <c r="I5" s="32">
        <v>1450</v>
      </c>
      <c r="J5" s="33">
        <v>0.55000000000000004</v>
      </c>
      <c r="K5" s="33">
        <v>0.75</v>
      </c>
      <c r="L5" s="30">
        <v>6.6</v>
      </c>
      <c r="M5" s="30">
        <v>250</v>
      </c>
    </row>
    <row r="6">
      <c r="B6" s="92" t="n">
        <v>46235</v>
      </c>
      <c r="C6" s="93" t="n">
        <v>0.08</v>
      </c>
      <c r="D6" s="94" t="n">
        <v>0.88</v>
      </c>
      <c r="E6" s="93" t="n">
        <v>0.04</v>
      </c>
      <c r="H6" s="29">
        <v>46291</v>
      </c>
      <c r="I6" s="32">
        <v>1750</v>
      </c>
      <c r="J6" s="33">
        <v>0.51</v>
      </c>
      <c r="K6" s="33">
        <v>0.72</v>
      </c>
      <c r="L6" s="30">
        <v>6.4</v>
      </c>
      <c r="M6" s="30">
        <v>300</v>
      </c>
    </row>
    <row r="7">
      <c r="B7" s="92" t="n">
        <v>46266</v>
      </c>
      <c r="C7" s="93" t="n">
        <v>0.1</v>
      </c>
      <c r="D7" s="94" t="n">
        <v>0.86</v>
      </c>
      <c r="E7" s="93" t="n">
        <v>0.04</v>
      </c>
      <c r="H7" s="29">
        <v>46321</v>
      </c>
      <c r="I7" s="32">
        <v>2100</v>
      </c>
      <c r="J7" s="33">
        <v>0.47</v>
      </c>
      <c r="K7" s="33">
        <v>0.68</v>
      </c>
      <c r="L7" s="30">
        <v>6.2</v>
      </c>
      <c r="M7" s="30">
        <v>350</v>
      </c>
    </row>
    <row r="8">
      <c r="B8" s="92" t="n">
        <v>46296</v>
      </c>
      <c r="C8" s="93" t="n">
        <v>0.12</v>
      </c>
      <c r="D8" s="94" t="n">
        <v>0.84</v>
      </c>
      <c r="E8" s="93" t="n">
        <v>0.04</v>
      </c>
      <c r="H8" s="29">
        <v>46352</v>
      </c>
      <c r="I8" s="32">
        <v>2500</v>
      </c>
      <c r="J8" s="33">
        <v>0.43</v>
      </c>
      <c r="K8" s="33">
        <v>0.64</v>
      </c>
      <c r="L8" s="30">
        <v>6</v>
      </c>
      <c r="M8" s="30">
        <v>400</v>
      </c>
    </row>
    <row r="9">
      <c r="B9" s="92" t="n">
        <v>46327</v>
      </c>
      <c r="C9" s="93" t="n">
        <v>0.14</v>
      </c>
      <c r="D9" s="94" t="n">
        <v>0.82</v>
      </c>
      <c r="E9" s="93" t="n">
        <v>0.04</v>
      </c>
      <c r="H9" s="29">
        <v>46382</v>
      </c>
      <c r="I9" s="35">
        <v>2950</v>
      </c>
      <c r="J9" s="36">
        <v>0.39</v>
      </c>
      <c r="K9" s="36">
        <v>0.6</v>
      </c>
      <c r="L9" s="31">
        <v>5.8</v>
      </c>
      <c r="M9" s="31">
        <v>450</v>
      </c>
    </row>
    <row r="10">
      <c r="B10" s="92" t="n">
        <v>46357</v>
      </c>
      <c r="C10" s="95" t="n">
        <v>0.16</v>
      </c>
      <c r="D10" s="95" t="n">
        <v>0.8</v>
      </c>
      <c r="E10" s="95" t="n">
        <v>0.04</v>
      </c>
    </row>
    <row r="13" ht="57.599998474121094">
      <c r="B13" s="6" t="s">
        <v>59</v>
      </c>
      <c r="C13" s="31" t="s">
        <v>133</v>
      </c>
      <c r="D13" s="31" t="s">
        <v>134</v>
      </c>
      <c r="E13" s="31" t="s">
        <v>135</v>
      </c>
      <c r="F13" s="31" t="s">
        <v>136</v>
      </c>
      <c r="G13" s="31"/>
      <c r="H13" s="31"/>
      <c r="I13" s="31"/>
    </row>
    <row r="14">
      <c r="B14" s="28">
        <v>46204</v>
      </c>
      <c r="C14" s="30" t="s">
        <v>137</v>
      </c>
      <c r="D14" s="30" t="s">
        <v>138</v>
      </c>
      <c r="E14" s="32">
        <v>8200</v>
      </c>
      <c r="F14" s="30" t="s">
        <v>139</v>
      </c>
      <c r="G14" s="33"/>
      <c r="H14" s="33"/>
      <c r="I14" s="33"/>
    </row>
    <row r="15">
      <c r="B15" s="28">
        <v>46235</v>
      </c>
      <c r="C15" s="30" t="s">
        <v>140</v>
      </c>
      <c r="D15" s="34">
        <v>0.01</v>
      </c>
      <c r="E15" s="32">
        <v>8450</v>
      </c>
      <c r="F15" s="30" t="s">
        <v>141</v>
      </c>
      <c r="G15" s="33"/>
      <c r="H15" s="33"/>
      <c r="I15" s="33"/>
    </row>
    <row r="16">
      <c r="B16" s="28">
        <v>46266</v>
      </c>
      <c r="C16" s="30" t="s">
        <v>142</v>
      </c>
      <c r="D16" s="34">
        <v>0.01</v>
      </c>
      <c r="E16" s="32">
        <v>8750</v>
      </c>
      <c r="F16" s="30" t="s">
        <v>143</v>
      </c>
      <c r="G16" s="33"/>
      <c r="H16" s="33"/>
      <c r="I16" s="33"/>
    </row>
    <row r="17">
      <c r="B17" s="28">
        <v>46296</v>
      </c>
      <c r="C17" s="30" t="s">
        <v>144</v>
      </c>
      <c r="D17" s="34">
        <v>1.4999999999999999E-2</v>
      </c>
      <c r="E17" s="32">
        <v>9050</v>
      </c>
      <c r="F17" s="30" t="s">
        <v>145</v>
      </c>
      <c r="G17" s="33"/>
      <c r="H17" s="33"/>
      <c r="I17" s="33"/>
    </row>
    <row r="18">
      <c r="B18" s="28">
        <v>46327</v>
      </c>
      <c r="C18" s="30" t="s">
        <v>146</v>
      </c>
      <c r="D18" s="34">
        <v>1.9E-2</v>
      </c>
      <c r="E18" s="32">
        <v>9400</v>
      </c>
      <c r="F18" s="30" t="s">
        <v>147</v>
      </c>
      <c r="G18" s="33"/>
      <c r="H18" s="33"/>
      <c r="I18" s="33"/>
    </row>
    <row r="19">
      <c r="B19" s="28">
        <v>46357</v>
      </c>
      <c r="C19" s="31" t="s">
        <v>148</v>
      </c>
      <c r="D19" s="34">
        <v>1.9E-2</v>
      </c>
      <c r="E19" s="35">
        <v>9800</v>
      </c>
      <c r="F19" s="31" t="s">
        <v>149</v>
      </c>
      <c r="G19" s="36"/>
      <c r="H19" s="36"/>
      <c r="I19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4.399999618530273"/>
  <cols>
    <col min="2" max="2" width="9.109375" customWidth="1"/>
    <col min="3" max="4" width="9.44140625" customWidth="1"/>
    <col min="5" max="7" width="8.88671875" customWidth="1"/>
    <col min="8" max="10" width="9.109375" customWidth="1"/>
    <col min="11" max="19" width="8.88671875" customWidth="1"/>
    <col min="20" max="22" width="9.109375" customWidth="1"/>
    <col min="23" max="31" width="8.88671875" customWidth="1"/>
    <col min="32" max="34" width="9.109375" customWidth="1"/>
    <col min="35" max="43" width="8.88671875" customWidth="1"/>
    <col min="44" max="46" width="9.109375" customWidth="1"/>
    <col min="47" max="55" width="8.88671875" customWidth="1"/>
    <col min="56" max="58" width="9.109375" customWidth="1"/>
    <col min="59" max="67" width="8.88671875" customWidth="1"/>
    <col min="68" max="70" width="9.109375" customWidth="1"/>
    <col min="71" max="79" width="8.88671875" customWidth="1"/>
    <col min="80" max="82" width="9.109375" customWidth="1"/>
    <col min="83" max="91" width="8.88671875" customWidth="1"/>
    <col min="92" max="94" width="9.109375" customWidth="1"/>
    <col min="95" max="103" width="8.88671875" customWidth="1"/>
    <col min="104" max="106" width="9.109375" customWidth="1"/>
    <col min="107" max="115" width="8.88671875" customWidth="1"/>
    <col min="116" max="118" width="9.109375" customWidth="1"/>
    <col min="119" max="127" width="8.88671875" customWidth="1"/>
    <col min="128" max="130" width="9.109375" customWidth="1"/>
    <col min="131" max="139" width="8.88671875" customWidth="1"/>
    <col min="140" max="142" width="9.109375" customWidth="1"/>
    <col min="143" max="151" width="8.88671875" customWidth="1"/>
    <col min="152" max="154" width="9.109375" customWidth="1"/>
    <col min="155" max="163" width="8.88671875" customWidth="1"/>
    <col min="164" max="166" width="9.109375" customWidth="1"/>
    <col min="167" max="175" width="8.88671875" customWidth="1"/>
    <col min="176" max="178" width="9.109375" customWidth="1"/>
    <col min="179" max="187" width="8.88671875" customWidth="1"/>
    <col min="188" max="190" width="9.109375" customWidth="1"/>
  </cols>
  <sheetData>
    <row r="1">
      <c r="B1" s="37" t="s">
        <v>150</v>
      </c>
      <c r="G1" s="37" t="s">
        <v>151</v>
      </c>
    </row>
    <row r="3">
      <c r="B3" t="s">
        <v>59</v>
      </c>
      <c r="C3" t="s">
        <v>152</v>
      </c>
      <c r="D3" t="s">
        <v>153</v>
      </c>
      <c r="E3" s="28"/>
      <c r="F3" s="28"/>
      <c r="G3" t="s">
        <v>59</v>
      </c>
      <c r="H3" t="s">
        <v>154</v>
      </c>
      <c r="I3" s="28" t="s">
        <v>155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</row>
    <row r="4">
      <c r="B4" s="28">
        <v>46204</v>
      </c>
      <c r="C4" s="1">
        <v>539.53841190905064</v>
      </c>
      <c r="D4" s="1" t="n">
        <f>C4*('Product Uptake'!$M$5/'Product Uptake'!$L$5)</f>
        <v>755.3537766726711</v>
      </c>
      <c r="G4" s="14" t="s">
        <v>156</v>
      </c>
      <c r="H4" s="17">
        <v>1</v>
      </c>
      <c r="I4" s="5">
        <v>1</v>
      </c>
    </row>
    <row r="5">
      <c r="B5" s="28">
        <v>46235</v>
      </c>
      <c r="C5" s="1">
        <v>5259.3225773136091</v>
      </c>
      <c r="D5" s="1" t="n">
        <f>C5*('Product Uptake'!$M$5/'Product Uptake'!$L$5)</f>
        <v>7363.051608239055</v>
      </c>
      <c r="G5" s="14" t="s">
        <v>157</v>
      </c>
      <c r="H5" s="17">
        <v>0.90135151891139398</v>
      </c>
      <c r="I5" s="5">
        <v>0.92</v>
      </c>
    </row>
    <row r="6">
      <c r="B6" s="28">
        <v>46266</v>
      </c>
      <c r="C6" s="1">
        <v>11943.405282109834</v>
      </c>
      <c r="D6" s="1" t="n">
        <f>C6*('Product Uptake'!$M$5/'Product Uptake'!$L$5)</f>
        <v>16720.76739495377</v>
      </c>
      <c r="G6" s="14" t="s">
        <v>158</v>
      </c>
      <c r="H6" s="17">
        <v>0.81886946701274754</v>
      </c>
      <c r="I6" s="5">
        <v>0.83</v>
      </c>
    </row>
    <row r="7">
      <c r="B7" s="28">
        <v>46296</v>
      </c>
      <c r="C7" s="1">
        <v>12288.269203503996</v>
      </c>
      <c r="D7" s="1" t="n">
        <f>C7*('Product Uptake'!$M$5/'Product Uptake'!$L$5)</f>
        <v>17203.5768849056</v>
      </c>
      <c r="G7" s="14" t="s">
        <v>159</v>
      </c>
      <c r="H7" s="17">
        <v>0.73028739681327393</v>
      </c>
      <c r="I7" s="5">
        <v>0.77</v>
      </c>
    </row>
    <row r="8">
      <c r="B8" s="28">
        <v>46327</v>
      </c>
      <c r="C8" s="1">
        <v>14530.162617236987</v>
      </c>
      <c r="D8" s="1" t="n">
        <f>C8*('Product Uptake'!$M$5/'Product Uptake'!$L$5)</f>
        <v>20342.227664131788</v>
      </c>
      <c r="G8" s="14" t="s">
        <v>160</v>
      </c>
      <c r="H8" s="17">
        <v>0.65091647694349852</v>
      </c>
      <c r="I8" s="5">
        <v>0.7</v>
      </c>
    </row>
    <row r="9">
      <c r="B9" s="28">
        <v>46357</v>
      </c>
      <c r="C9" s="1">
        <v>15557.437348143692</v>
      </c>
      <c r="D9" s="1" t="n">
        <f>C9*('Product Uptake'!$M$5/'Product Uptake'!$L$5)</f>
        <v>21780.412287401174</v>
      </c>
      <c r="G9" s="14" t="s">
        <v>161</v>
      </c>
      <c r="H9" s="17">
        <v>0.58245497498580945</v>
      </c>
      <c r="I9" s="5">
        <v>0.65</v>
      </c>
    </row>
    <row r="10">
      <c r="B10" s="28">
        <v>46388</v>
      </c>
      <c r="C10" s="1">
        <v>17982.960788772907</v>
      </c>
      <c r="G10" s="14" t="s">
        <v>71</v>
      </c>
      <c r="H10" s="17">
        <v>0.55787816336179397</v>
      </c>
    </row>
    <row r="11">
      <c r="B11" s="28">
        <v>46419</v>
      </c>
      <c r="C11" s="1">
        <v>21680.969498555165</v>
      </c>
      <c r="G11" s="14" t="s">
        <v>72</v>
      </c>
      <c r="H11" s="17">
        <v>0.53675914613985465</v>
      </c>
    </row>
    <row r="12">
      <c r="B12" s="28">
        <v>46447</v>
      </c>
      <c r="C12" s="1">
        <v>22262.124739157378</v>
      </c>
      <c r="G12" s="14" t="s">
        <v>73</v>
      </c>
      <c r="H12" s="17">
        <v>0.51648945922335654</v>
      </c>
    </row>
    <row r="13">
      <c r="B13" s="28">
        <v>46478</v>
      </c>
      <c r="C13" s="1">
        <v>24010.098480228906</v>
      </c>
      <c r="G13" s="14" t="s">
        <v>74</v>
      </c>
      <c r="H13" s="17">
        <v>0.49835909958900337</v>
      </c>
    </row>
    <row r="14">
      <c r="B14" s="28">
        <v>46508</v>
      </c>
      <c r="C14" s="1">
        <v>24577.437447589858</v>
      </c>
      <c r="G14" s="14" t="s">
        <v>75</v>
      </c>
      <c r="H14" s="17">
        <v>0.48131960314015998</v>
      </c>
    </row>
    <row r="15">
      <c r="B15" s="28">
        <v>46539</v>
      </c>
      <c r="C15" s="1">
        <v>25250.574930145991</v>
      </c>
      <c r="G15" s="14" t="s">
        <v>76</v>
      </c>
      <c r="H15" s="17">
        <v>0.46640327524352176</v>
      </c>
    </row>
    <row r="16">
      <c r="B16" s="28">
        <v>46569</v>
      </c>
      <c r="C16" s="1">
        <v>25981.313510541717</v>
      </c>
      <c r="G16" s="14" t="s">
        <v>77</v>
      </c>
      <c r="H16" s="17">
        <v>0.45375317406651494</v>
      </c>
    </row>
    <row r="17">
      <c r="B17" s="28">
        <v>46600</v>
      </c>
      <c r="C17" s="1">
        <v>26590.062958108236</v>
      </c>
      <c r="G17" s="14" t="s">
        <v>78</v>
      </c>
      <c r="H17" s="17">
        <v>0.44178850750555915</v>
      </c>
    </row>
    <row r="18">
      <c r="B18" s="28">
        <v>46631</v>
      </c>
      <c r="C18" s="1">
        <v>27149.503654956992</v>
      </c>
      <c r="G18" s="14" t="s">
        <v>79</v>
      </c>
      <c r="H18" s="17">
        <v>0.43024696717066291</v>
      </c>
    </row>
    <row r="19">
      <c r="B19" s="28">
        <v>46661</v>
      </c>
      <c r="C19" s="1">
        <v>27723.505918389688</v>
      </c>
      <c r="G19" s="14" t="s">
        <v>80</v>
      </c>
      <c r="H19" s="17">
        <v>0.41964470574517398</v>
      </c>
    </row>
    <row r="20">
      <c r="B20" s="28">
        <v>46692</v>
      </c>
      <c r="C20" s="1">
        <v>28278.542619809821</v>
      </c>
      <c r="G20" s="14" t="s">
        <v>81</v>
      </c>
      <c r="H20" s="17">
        <v>0.40867864537577042</v>
      </c>
    </row>
    <row r="21">
      <c r="B21" s="28">
        <v>46722</v>
      </c>
      <c r="C21" s="1">
        <v>28948.388153367734</v>
      </c>
      <c r="G21" s="14" t="s">
        <v>82</v>
      </c>
      <c r="H21" s="17">
        <v>0.39838493874579989</v>
      </c>
    </row>
    <row r="22">
      <c r="B22" s="28">
        <v>46753</v>
      </c>
      <c r="C22" s="1">
        <v>29542.732124053899</v>
      </c>
      <c r="G22" s="14" t="s">
        <v>83</v>
      </c>
      <c r="H22" s="17">
        <v>0.39041777480437501</v>
      </c>
    </row>
    <row r="23">
      <c r="B23" s="28">
        <v>46784</v>
      </c>
      <c r="C23" s="1">
        <v>30063.291329528372</v>
      </c>
      <c r="G23" s="14" t="s">
        <v>84</v>
      </c>
      <c r="H23" s="17">
        <v>0.38323138032628051</v>
      </c>
    </row>
    <row r="24">
      <c r="B24" s="28">
        <v>46813</v>
      </c>
      <c r="C24" s="1">
        <v>30587.474062057372</v>
      </c>
      <c r="G24" s="14" t="s">
        <v>85</v>
      </c>
      <c r="H24" s="17">
        <v>0.3757842163848556</v>
      </c>
    </row>
    <row r="25">
      <c r="B25" s="28">
        <v>46844</v>
      </c>
      <c r="C25" s="1">
        <v>31081.90939352426</v>
      </c>
      <c r="G25" s="14" t="s">
        <v>86</v>
      </c>
      <c r="H25" s="17">
        <v>0.37058903579461955</v>
      </c>
    </row>
    <row r="26">
      <c r="B26" s="28">
        <v>46874</v>
      </c>
      <c r="C26" s="1">
        <v>31650.379389296952</v>
      </c>
      <c r="G26" s="14" t="s">
        <v>87</v>
      </c>
      <c r="H26" s="17">
        <v>0.3636618718531946</v>
      </c>
    </row>
    <row r="27">
      <c r="B27" s="28">
        <v>46905</v>
      </c>
      <c r="C27" s="1">
        <v>32300.717743710742</v>
      </c>
      <c r="G27" s="14" t="s">
        <v>88</v>
      </c>
      <c r="H27" s="17">
        <v>0.35846669126295855</v>
      </c>
    </row>
    <row r="28">
      <c r="B28" s="28">
        <v>46935</v>
      </c>
      <c r="C28" s="1">
        <v>33008.55488362522</v>
      </c>
      <c r="G28" s="14" t="s">
        <v>89</v>
      </c>
      <c r="H28" s="17">
        <v>0.35327151067272244</v>
      </c>
    </row>
    <row r="29">
      <c r="B29" s="28">
        <v>46966</v>
      </c>
      <c r="C29" s="1">
        <v>33512.319467426336</v>
      </c>
      <c r="G29" s="14" t="s">
        <v>90</v>
      </c>
      <c r="H29" s="17">
        <v>0.3480763300824864</v>
      </c>
    </row>
    <row r="30">
      <c r="B30" s="28">
        <v>46997</v>
      </c>
      <c r="C30" s="1">
        <v>34098.101521282268</v>
      </c>
      <c r="G30" s="14" t="s">
        <v>91</v>
      </c>
      <c r="H30" s="17">
        <v>0.34288114949225029</v>
      </c>
    </row>
    <row r="31">
      <c r="B31" s="28">
        <v>47027</v>
      </c>
      <c r="C31" s="1">
        <v>34607.118970474345</v>
      </c>
      <c r="G31" s="14" t="s">
        <v>92</v>
      </c>
      <c r="H31" s="17">
        <v>0.33768596890201424</v>
      </c>
    </row>
    <row r="32">
      <c r="B32" s="28">
        <v>47058</v>
      </c>
      <c r="C32" s="1">
        <v>35195.935314008966</v>
      </c>
      <c r="G32" s="14" t="s">
        <v>93</v>
      </c>
      <c r="H32" s="17">
        <v>0.33422277166296704</v>
      </c>
    </row>
    <row r="33">
      <c r="B33" s="28">
        <v>47088</v>
      </c>
      <c r="C33" s="1">
        <v>35771.833111260006</v>
      </c>
      <c r="G33" s="14" t="s">
        <v>94</v>
      </c>
      <c r="H33" s="17">
        <v>0.32902759107273094</v>
      </c>
    </row>
    <row r="34">
      <c r="B34" s="28">
        <v>47119</v>
      </c>
      <c r="C34" s="1">
        <v>36310.991018905865</v>
      </c>
      <c r="G34" s="14" t="s">
        <v>95</v>
      </c>
      <c r="H34" s="17">
        <v>0.32556439383368369</v>
      </c>
    </row>
    <row r="35">
      <c r="B35" s="28">
        <v>47150</v>
      </c>
      <c r="C35" s="1">
        <v>36873.35095607688</v>
      </c>
      <c r="G35" s="14" t="s">
        <v>96</v>
      </c>
      <c r="H35" s="17">
        <v>0.32210042713130599</v>
      </c>
    </row>
    <row r="36">
      <c r="B36" s="28">
        <v>47178</v>
      </c>
      <c r="C36" s="1">
        <v>37307.014550631509</v>
      </c>
      <c r="G36" s="14" t="s">
        <v>97</v>
      </c>
      <c r="H36" s="17">
        <v>0.31863722989225879</v>
      </c>
    </row>
    <row r="37">
      <c r="B37" s="28">
        <v>47209</v>
      </c>
      <c r="C37" s="1">
        <v>37773.23609035687</v>
      </c>
      <c r="G37" s="14" t="s">
        <v>98</v>
      </c>
      <c r="H37" s="17">
        <v>0.31517403265321153</v>
      </c>
    </row>
    <row r="38">
      <c r="B38" s="28">
        <v>47239</v>
      </c>
      <c r="C38" s="1">
        <v>38350.945645873675</v>
      </c>
      <c r="G38" s="14" t="s">
        <v>99</v>
      </c>
      <c r="H38" s="17">
        <v>0.31171006595083389</v>
      </c>
    </row>
    <row r="39">
      <c r="B39" s="28">
        <v>47270</v>
      </c>
      <c r="C39" s="1">
        <v>39192.504612957564</v>
      </c>
      <c r="G39" s="14" t="s">
        <v>100</v>
      </c>
      <c r="H39" s="17">
        <v>0.30824686871178664</v>
      </c>
    </row>
    <row r="40">
      <c r="B40" s="28">
        <v>47300</v>
      </c>
      <c r="C40" s="1">
        <v>40177.801996058923</v>
      </c>
      <c r="G40" s="14" t="s">
        <v>101</v>
      </c>
      <c r="H40" s="17">
        <v>0.30478367147273944</v>
      </c>
    </row>
    <row r="41">
      <c r="B41" s="28">
        <v>47331</v>
      </c>
      <c r="C41" s="1">
        <v>40653.313122332496</v>
      </c>
      <c r="G41" s="14" t="s">
        <v>102</v>
      </c>
      <c r="H41" s="17">
        <v>0.30305168812155059</v>
      </c>
    </row>
    <row r="42">
      <c r="B42" s="28">
        <v>47362</v>
      </c>
      <c r="C42" s="1">
        <v>41230.910504715917</v>
      </c>
      <c r="G42" s="14" t="s">
        <v>103</v>
      </c>
      <c r="H42" s="17">
        <v>0.29958849088250333</v>
      </c>
    </row>
    <row r="43">
      <c r="B43" s="28">
        <v>47392</v>
      </c>
      <c r="C43" s="1">
        <v>41750.064026805368</v>
      </c>
      <c r="G43" s="14" t="s">
        <v>104</v>
      </c>
      <c r="H43" s="17">
        <v>0.29785650753131454</v>
      </c>
    </row>
    <row r="44">
      <c r="B44" s="28">
        <v>47423</v>
      </c>
      <c r="C44" s="1">
        <v>42402.034936171207</v>
      </c>
      <c r="G44" s="14" t="s">
        <v>105</v>
      </c>
      <c r="H44" s="17">
        <v>0.29439331029226729</v>
      </c>
    </row>
    <row r="45">
      <c r="B45" s="28">
        <v>47453</v>
      </c>
      <c r="C45" s="1">
        <v>42948.817809205553</v>
      </c>
      <c r="G45" s="14" t="s">
        <v>106</v>
      </c>
      <c r="H45" s="17">
        <v>0.29266132694107844</v>
      </c>
    </row>
    <row r="46">
      <c r="B46" s="28">
        <v>47484</v>
      </c>
      <c r="C46" s="1">
        <v>43107.152327252872</v>
      </c>
      <c r="G46" s="14" t="s">
        <v>107</v>
      </c>
      <c r="H46" s="17">
        <v>0.29093011305322009</v>
      </c>
    </row>
    <row r="47">
      <c r="B47" s="28">
        <v>47515</v>
      </c>
      <c r="C47" s="1">
        <v>43323.726611748389</v>
      </c>
      <c r="G47" s="14" t="s">
        <v>108</v>
      </c>
      <c r="H47" s="17">
        <v>0.28746614635084244</v>
      </c>
    </row>
    <row r="48">
      <c r="B48" s="28">
        <v>47543</v>
      </c>
      <c r="C48" s="1">
        <v>43379.713254110735</v>
      </c>
      <c r="G48" s="14" t="s">
        <v>109</v>
      </c>
      <c r="H48" s="17">
        <v>0.28573493246298398</v>
      </c>
    </row>
    <row r="49">
      <c r="B49" s="28">
        <v>47574</v>
      </c>
      <c r="C49" s="1">
        <v>43452.676605876339</v>
      </c>
      <c r="G49" s="14" t="s">
        <v>110</v>
      </c>
      <c r="H49" s="17">
        <v>0.28400294911179513</v>
      </c>
    </row>
    <row r="50">
      <c r="B50" s="28">
        <v>47604</v>
      </c>
      <c r="C50" s="1">
        <v>43476.48632219695</v>
      </c>
      <c r="G50" s="14" t="s">
        <v>111</v>
      </c>
      <c r="H50" s="17">
        <v>0.28227096576060628</v>
      </c>
    </row>
    <row r="51">
      <c r="B51" s="28">
        <v>47635</v>
      </c>
      <c r="C51" s="1">
        <v>43609.077012025489</v>
      </c>
      <c r="G51" s="14" t="s">
        <v>112</v>
      </c>
      <c r="H51" s="17">
        <v>0.28053975187274793</v>
      </c>
    </row>
    <row r="52">
      <c r="B52" s="28">
        <v>47665</v>
      </c>
      <c r="C52" s="1">
        <v>43818.725496274834</v>
      </c>
      <c r="G52" s="14" t="s">
        <v>113</v>
      </c>
      <c r="H52" s="17">
        <v>0.27880776852155909</v>
      </c>
    </row>
    <row r="53">
      <c r="B53" s="28">
        <v>47696</v>
      </c>
      <c r="C53" s="1">
        <v>43695.037694218227</v>
      </c>
      <c r="G53" s="14" t="s">
        <v>114</v>
      </c>
      <c r="H53" s="17">
        <v>0.27707578517037024</v>
      </c>
    </row>
    <row r="54">
      <c r="B54" s="28">
        <v>47727</v>
      </c>
      <c r="C54" s="1">
        <v>43653.228308209487</v>
      </c>
      <c r="G54" s="14" t="s">
        <v>115</v>
      </c>
      <c r="H54" s="17">
        <v>0.27534457128251189</v>
      </c>
    </row>
    <row r="55">
      <c r="B55" s="28">
        <v>47757</v>
      </c>
      <c r="C55" s="1">
        <v>43555.424374070797</v>
      </c>
      <c r="G55" s="14" t="s">
        <v>116</v>
      </c>
      <c r="H55" s="17">
        <v>0.27361258793132298</v>
      </c>
    </row>
    <row r="56">
      <c r="B56" s="28">
        <v>47788</v>
      </c>
      <c r="C56" s="1">
        <v>43560.5015501366</v>
      </c>
      <c r="G56" s="14" t="s">
        <v>117</v>
      </c>
      <c r="H56" s="17">
        <v>0.27188060458013419</v>
      </c>
    </row>
    <row r="57">
      <c r="B57" s="28">
        <v>47818</v>
      </c>
      <c r="C57" s="1">
        <v>43565.639242556928</v>
      </c>
      <c r="G57" s="14" t="s">
        <v>118</v>
      </c>
      <c r="H57" s="17">
        <v>0.27188060458013419</v>
      </c>
    </row>
    <row r="58">
      <c r="B58" s="28">
        <v>47849</v>
      </c>
      <c r="C58" s="1">
        <v>43440.264776047428</v>
      </c>
      <c r="G58" s="14" t="s">
        <v>119</v>
      </c>
      <c r="H58" s="17">
        <v>0.27014939069227578</v>
      </c>
    </row>
    <row r="59">
      <c r="B59" s="28">
        <v>47880</v>
      </c>
      <c r="C59" s="1">
        <v>43361.379856369407</v>
      </c>
      <c r="G59" s="14" t="s">
        <v>120</v>
      </c>
      <c r="H59" s="17">
        <v>0.26841740734108693</v>
      </c>
    </row>
    <row r="60">
      <c r="B60" s="28">
        <v>47908</v>
      </c>
      <c r="C60" s="1">
        <v>43235.870826385544</v>
      </c>
      <c r="G60" s="14" t="s">
        <v>121</v>
      </c>
      <c r="H60" s="17">
        <v>0.26668542398989808</v>
      </c>
    </row>
    <row r="61">
      <c r="B61" s="28">
        <v>47939</v>
      </c>
      <c r="C61" s="1">
        <v>43110.361796401674</v>
      </c>
      <c r="G61" s="14" t="s">
        <v>122</v>
      </c>
      <c r="H61" s="17">
        <v>0.26668542398989808</v>
      </c>
    </row>
    <row r="62">
      <c r="B62" s="28">
        <v>47969</v>
      </c>
      <c r="C62" s="1">
        <v>43047.857348879348</v>
      </c>
      <c r="G62" s="14" t="s">
        <v>123</v>
      </c>
      <c r="H62" s="17">
        <v>0.26495421010203973</v>
      </c>
    </row>
    <row r="63">
      <c r="B63" s="28">
        <v>48000</v>
      </c>
      <c r="C63" s="1">
        <v>43056.385098530627</v>
      </c>
      <c r="G63" s="14" t="s">
        <v>124</v>
      </c>
      <c r="H63" s="17">
        <v>0.26322222675085089</v>
      </c>
    </row>
    <row r="64">
      <c r="B64" s="28">
        <v>48030</v>
      </c>
      <c r="C64" s="1">
        <v>43110.846741568232</v>
      </c>
      <c r="G64" s="14" t="s">
        <v>162</v>
      </c>
      <c r="H64" s="17">
        <v>0.26322222675085089</v>
      </c>
    </row>
    <row r="65">
      <c r="B65" s="28">
        <v>48061</v>
      </c>
      <c r="C65" s="1">
        <v>43111.302435506419</v>
      </c>
      <c r="G65" s="14" t="s">
        <v>163</v>
      </c>
      <c r="H65" s="17">
        <v>0.26149024339966198</v>
      </c>
    </row>
    <row r="66">
      <c r="B66" s="28">
        <v>48092</v>
      </c>
      <c r="C66" s="1">
        <v>43161.084173704337</v>
      </c>
      <c r="G66" s="14" t="s">
        <v>164</v>
      </c>
      <c r="H66" s="17">
        <v>0.26149024339966198</v>
      </c>
    </row>
    <row r="67">
      <c r="B67" s="28">
        <v>48122</v>
      </c>
      <c r="C67" s="1">
        <v>43177.323448592513</v>
      </c>
      <c r="G67" s="14" t="s">
        <v>165</v>
      </c>
      <c r="H67" s="17">
        <v>0.25975902951180363</v>
      </c>
    </row>
    <row r="68">
      <c r="B68" s="28">
        <v>48153</v>
      </c>
      <c r="C68" s="1">
        <v>43227.587870865435</v>
      </c>
      <c r="G68" s="14" t="s">
        <v>166</v>
      </c>
      <c r="H68" s="17">
        <v>0.25802704616061478</v>
      </c>
    </row>
    <row r="69">
      <c r="B69" s="28">
        <v>48183</v>
      </c>
      <c r="C69" s="1">
        <v>43306.574820151465</v>
      </c>
      <c r="G69" s="14" t="s">
        <v>167</v>
      </c>
      <c r="H69" s="17">
        <v>0.25802704616061478</v>
      </c>
    </row>
    <row r="70">
      <c r="B70" s="28">
        <v>48214</v>
      </c>
      <c r="C70" s="1">
        <v>43306.574820151465</v>
      </c>
      <c r="G70" s="14" t="s">
        <v>168</v>
      </c>
      <c r="H70" s="17">
        <v>0.25629506280942593</v>
      </c>
    </row>
    <row r="71">
      <c r="B71" s="28">
        <v>48245</v>
      </c>
      <c r="C71" s="1">
        <v>43334.954963298725</v>
      </c>
      <c r="G71" s="14" t="s">
        <v>169</v>
      </c>
      <c r="H71" s="17">
        <v>0.25629506280942593</v>
      </c>
    </row>
    <row r="72">
      <c r="B72" s="28">
        <v>48274</v>
      </c>
      <c r="C72" s="1">
        <v>43334.954963298725</v>
      </c>
      <c r="G72" s="14" t="s">
        <v>170</v>
      </c>
      <c r="H72" s="17">
        <v>0.25456384892156758</v>
      </c>
    </row>
    <row r="73">
      <c r="B73" s="28">
        <v>48305</v>
      </c>
      <c r="C73" s="1">
        <v>43334.954963298725</v>
      </c>
      <c r="G73" s="14" t="s">
        <v>171</v>
      </c>
      <c r="H73" s="17">
        <v>0.25456384892156758</v>
      </c>
    </row>
    <row r="74">
      <c r="B74" s="28">
        <v>48335</v>
      </c>
      <c r="C74" s="1">
        <v>43325.00078598156</v>
      </c>
      <c r="G74" s="14" t="s">
        <v>172</v>
      </c>
      <c r="H74" s="17">
        <v>0.25283186557037873</v>
      </c>
    </row>
    <row r="75">
      <c r="B75" s="28">
        <v>48366</v>
      </c>
      <c r="C75" s="1">
        <v>43241.016951591933</v>
      </c>
      <c r="G75" s="14" t="s">
        <v>173</v>
      </c>
      <c r="H75" s="17">
        <v>0.25283186557037873</v>
      </c>
    </row>
    <row r="76">
      <c r="B76" s="28">
        <v>48396</v>
      </c>
      <c r="C76" s="1">
        <v>43127.684971338058</v>
      </c>
      <c r="G76" s="14" t="s">
        <v>174</v>
      </c>
      <c r="H76" s="17">
        <v>0.25109988221918988</v>
      </c>
    </row>
    <row r="77">
      <c r="B77" s="28">
        <v>48427</v>
      </c>
      <c r="C77" s="1">
        <v>43127.39870741521</v>
      </c>
      <c r="G77" s="14" t="s">
        <v>175</v>
      </c>
      <c r="H77" s="17">
        <v>0.25109988221918988</v>
      </c>
    </row>
    <row r="78">
      <c r="B78" s="28">
        <v>48458</v>
      </c>
      <c r="C78" s="1">
        <v>43096.126148207368</v>
      </c>
      <c r="G78" s="14" t="s">
        <v>176</v>
      </c>
      <c r="H78" s="17">
        <v>0.24936866833133148</v>
      </c>
    </row>
    <row r="79">
      <c r="B79" s="28">
        <v>48488</v>
      </c>
      <c r="C79" s="1">
        <v>43085.924742956835</v>
      </c>
      <c r="G79" s="14" t="s">
        <v>177</v>
      </c>
      <c r="H79" s="17">
        <v>0.24936866833133148</v>
      </c>
    </row>
    <row r="80">
      <c r="B80" s="28">
        <v>48519</v>
      </c>
      <c r="C80" s="1">
        <v>43054.348964800411</v>
      </c>
      <c r="G80" s="14" t="s">
        <v>178</v>
      </c>
      <c r="H80" s="17">
        <v>0.24763668498014263</v>
      </c>
    </row>
    <row r="81">
      <c r="B81" s="28">
        <v>48549</v>
      </c>
      <c r="C81" s="1">
        <v>43004.729884840322</v>
      </c>
      <c r="G81" s="14" t="s">
        <v>179</v>
      </c>
      <c r="H81" s="17">
        <v>0.24763668498014263</v>
      </c>
    </row>
    <row r="82">
      <c r="B82" s="28">
        <v>48580</v>
      </c>
      <c r="C82" s="1">
        <v>43004.729884840322</v>
      </c>
      <c r="G82" s="14" t="s">
        <v>180</v>
      </c>
      <c r="H82" s="17">
        <v>0.24590470162895378</v>
      </c>
    </row>
    <row r="83">
      <c r="B83" s="28">
        <v>48611</v>
      </c>
      <c r="C83" s="1">
        <v>42986.901666320278</v>
      </c>
      <c r="G83" s="14" t="s">
        <v>181</v>
      </c>
      <c r="H83" s="17">
        <v>0.24590470162895378</v>
      </c>
    </row>
    <row r="84">
      <c r="B84" s="28">
        <v>48639</v>
      </c>
      <c r="C84" s="1">
        <v>42986.901666320278</v>
      </c>
      <c r="G84" s="14" t="s">
        <v>182</v>
      </c>
      <c r="H84" s="17">
        <v>0.24590470162895378</v>
      </c>
    </row>
    <row r="85">
      <c r="B85" s="28">
        <v>48670</v>
      </c>
      <c r="C85" s="1">
        <v>42986.901666320278</v>
      </c>
      <c r="G85" s="14" t="s">
        <v>183</v>
      </c>
      <c r="H85" s="17">
        <v>0.24417348774109537</v>
      </c>
    </row>
    <row r="86">
      <c r="B86" s="28">
        <v>48700</v>
      </c>
      <c r="C86" s="1">
        <v>42990.888277132348</v>
      </c>
      <c r="G86" s="14" t="s">
        <v>184</v>
      </c>
      <c r="H86" s="17">
        <v>0.24417348774109537</v>
      </c>
    </row>
    <row r="87">
      <c r="B87" s="28">
        <v>48731</v>
      </c>
      <c r="C87" s="1">
        <v>43024.52348891821</v>
      </c>
      <c r="G87" s="14" t="s">
        <v>185</v>
      </c>
      <c r="H87" s="17">
        <v>0.24244150438990655</v>
      </c>
    </row>
    <row r="88">
      <c r="B88" s="28">
        <v>48761</v>
      </c>
      <c r="C88" s="1">
        <v>43069.912523434839</v>
      </c>
      <c r="G88" s="14" t="s">
        <v>186</v>
      </c>
      <c r="H88" s="17">
        <v>0.24244150438990655</v>
      </c>
    </row>
    <row r="89">
      <c r="B89" s="28">
        <v>48792</v>
      </c>
      <c r="C89" s="1">
        <v>43070.027171066038</v>
      </c>
      <c r="G89" s="14" t="s">
        <v>187</v>
      </c>
      <c r="H89" s="17">
        <v>0.24070952103871773</v>
      </c>
    </row>
    <row r="90">
      <c r="B90" s="28">
        <v>48823</v>
      </c>
      <c r="C90" s="1">
        <v>43082.551714148474</v>
      </c>
      <c r="G90" s="14" t="s">
        <v>188</v>
      </c>
      <c r="H90" s="17">
        <v>0.24070952103871773</v>
      </c>
    </row>
    <row r="91">
      <c r="B91" s="28">
        <v>48853</v>
      </c>
      <c r="C91" s="1">
        <v>43086.63733882385</v>
      </c>
      <c r="G91" s="14" t="s">
        <v>189</v>
      </c>
      <c r="H91" s="17">
        <v>0.24070952103871773</v>
      </c>
    </row>
    <row r="92">
      <c r="B92" s="28">
        <v>48884</v>
      </c>
      <c r="C92" s="1">
        <v>43099.283319961927</v>
      </c>
      <c r="G92" s="14" t="s">
        <v>190</v>
      </c>
      <c r="H92" s="17">
        <v>0.23897830715085933</v>
      </c>
    </row>
    <row r="93">
      <c r="B93" s="28">
        <v>48914</v>
      </c>
      <c r="C93" s="1">
        <v>43119.15557603605</v>
      </c>
      <c r="G93" s="14" t="s">
        <v>191</v>
      </c>
      <c r="H93" s="17">
        <v>0.23897830715085933</v>
      </c>
    </row>
    <row r="94">
      <c r="B94" s="28">
        <v>48945</v>
      </c>
      <c r="C94" s="1">
        <v>43119.15557603605</v>
      </c>
      <c r="G94" s="14" t="s">
        <v>192</v>
      </c>
      <c r="H94" s="17">
        <v>0.23724632379967048</v>
      </c>
    </row>
    <row r="95">
      <c r="B95" s="28">
        <v>48976</v>
      </c>
      <c r="C95" s="1">
        <v>43126.295710920873</v>
      </c>
      <c r="G95" s="14" t="s">
        <v>193</v>
      </c>
      <c r="H95" s="17">
        <v>0.23724632379967048</v>
      </c>
    </row>
    <row r="96">
      <c r="B96" s="28">
        <v>49004</v>
      </c>
      <c r="C96" s="1">
        <v>43126.295710920873</v>
      </c>
      <c r="G96" s="14" t="s">
        <v>194</v>
      </c>
      <c r="H96" s="17">
        <v>0.23724632379967048</v>
      </c>
    </row>
    <row r="97">
      <c r="B97" s="28">
        <v>49035</v>
      </c>
      <c r="C97" s="1">
        <v>43126.295710920873</v>
      </c>
      <c r="G97" s="14" t="s">
        <v>195</v>
      </c>
      <c r="H97" s="17">
        <v>0.23551434044848166</v>
      </c>
    </row>
    <row r="98">
      <c r="B98" s="28">
        <v>49065</v>
      </c>
      <c r="C98" s="1">
        <v>43132.514717378268</v>
      </c>
      <c r="G98" s="14" t="s">
        <v>196</v>
      </c>
      <c r="H98" s="17">
        <v>0.23551434044848166</v>
      </c>
    </row>
    <row r="99">
      <c r="B99" s="28">
        <v>49096</v>
      </c>
      <c r="C99" s="1">
        <v>43184.984749983072</v>
      </c>
      <c r="G99" s="14" t="s">
        <v>197</v>
      </c>
      <c r="H99" s="17">
        <v>0.23551434044848166</v>
      </c>
    </row>
    <row r="100">
      <c r="B100" s="28">
        <v>49126</v>
      </c>
      <c r="C100" s="1">
        <v>43255.790432318317</v>
      </c>
      <c r="G100" s="14" t="s">
        <v>198</v>
      </c>
      <c r="H100" s="17">
        <v>0.23378312656062325</v>
      </c>
    </row>
    <row r="101">
      <c r="B101" s="28">
        <v>49157</v>
      </c>
      <c r="C101" s="1">
        <v>43255.969279562851</v>
      </c>
      <c r="G101" s="14" t="s">
        <v>199</v>
      </c>
      <c r="H101" s="17">
        <v>0.23378312656062325</v>
      </c>
    </row>
    <row r="102">
      <c r="B102" s="28">
        <v>49188</v>
      </c>
      <c r="C102" s="1">
        <v>43275.507232470045</v>
      </c>
      <c r="G102" s="14" t="s">
        <v>200</v>
      </c>
      <c r="H102" s="17">
        <v>0.23378312656062325</v>
      </c>
    </row>
    <row r="103">
      <c r="B103" s="28">
        <v>49218</v>
      </c>
      <c r="C103" s="1">
        <v>43281.880697911351</v>
      </c>
      <c r="G103" s="14" t="s">
        <v>201</v>
      </c>
      <c r="H103" s="17">
        <v>0.2320511432094344</v>
      </c>
    </row>
    <row r="104">
      <c r="B104" s="28">
        <v>49249</v>
      </c>
      <c r="C104" s="1">
        <v>43301.608090943955</v>
      </c>
      <c r="G104" s="14" t="s">
        <v>202</v>
      </c>
      <c r="H104" s="17">
        <v>0.2320511432094344</v>
      </c>
    </row>
    <row r="105">
      <c r="B105" s="28">
        <v>49279</v>
      </c>
      <c r="C105" s="1">
        <v>43332.608279995206</v>
      </c>
      <c r="G105" s="14" t="s">
        <v>203</v>
      </c>
      <c r="H105" s="17">
        <v>0.2320511432094344</v>
      </c>
    </row>
    <row r="106">
      <c r="B106" s="28">
        <v>49310</v>
      </c>
      <c r="C106" s="1">
        <v>43332.608279995206</v>
      </c>
      <c r="G106" s="14" t="s">
        <v>204</v>
      </c>
      <c r="H106" s="17">
        <v>0.23031915985824558</v>
      </c>
    </row>
    <row r="107">
      <c r="B107" s="28">
        <v>49341</v>
      </c>
      <c r="C107" s="1">
        <v>43343.746699833151</v>
      </c>
      <c r="G107" s="14" t="s">
        <v>205</v>
      </c>
      <c r="H107" s="17">
        <v>0.23031915985824558</v>
      </c>
    </row>
    <row r="108">
      <c r="B108" s="28">
        <v>49369</v>
      </c>
      <c r="C108" s="1">
        <v>43343.746699833151</v>
      </c>
      <c r="G108" s="14" t="s">
        <v>206</v>
      </c>
      <c r="H108" s="17">
        <v>0.23031915985824558</v>
      </c>
    </row>
    <row r="109">
      <c r="B109" s="28">
        <v>49400</v>
      </c>
      <c r="C109" s="1">
        <v>43343.746699833151</v>
      </c>
      <c r="G109" s="14" t="s">
        <v>207</v>
      </c>
      <c r="H109" s="17">
        <v>0.22858794597038715</v>
      </c>
    </row>
    <row r="110">
      <c r="B110" s="28">
        <v>49430</v>
      </c>
      <c r="C110" s="1">
        <v>43349.711459327867</v>
      </c>
      <c r="G110" s="14" t="s">
        <v>208</v>
      </c>
      <c r="H110" s="17">
        <v>0.22858794597038715</v>
      </c>
    </row>
    <row r="111">
      <c r="B111" s="28">
        <v>49461</v>
      </c>
      <c r="C111" s="1">
        <v>43400.03639906094</v>
      </c>
      <c r="G111" s="14" t="s">
        <v>209</v>
      </c>
      <c r="H111" s="17">
        <v>0.22858794597038715</v>
      </c>
    </row>
    <row r="112">
      <c r="B112" s="28">
        <v>49491</v>
      </c>
      <c r="C112" s="1">
        <v>43467.947385949752</v>
      </c>
      <c r="G112" s="14" t="s">
        <v>210</v>
      </c>
      <c r="H112" s="17">
        <v>0.22685596261919833</v>
      </c>
    </row>
    <row r="113">
      <c r="B113" s="28">
        <v>49522</v>
      </c>
      <c r="C113" s="1">
        <v>43468.118921516922</v>
      </c>
      <c r="G113" s="14" t="s">
        <v>211</v>
      </c>
      <c r="H113" s="17">
        <v>0.22685596261919833</v>
      </c>
    </row>
    <row r="114">
      <c r="B114" s="28">
        <v>49553</v>
      </c>
      <c r="C114" s="1">
        <v>43486.858118993099</v>
      </c>
      <c r="G114" s="14" t="s">
        <v>212</v>
      </c>
      <c r="H114" s="17">
        <v>0.22685596261919833</v>
      </c>
    </row>
    <row r="115">
      <c r="B115" s="28">
        <v>49583</v>
      </c>
      <c r="C115" s="1">
        <v>43492.971022841288</v>
      </c>
      <c r="G115" s="14" t="s">
        <v>213</v>
      </c>
      <c r="H115" s="17">
        <v>0.22512397926800948</v>
      </c>
    </row>
    <row r="116">
      <c r="B116" s="28">
        <v>49614</v>
      </c>
      <c r="C116" s="1">
        <v>43511.89191570472</v>
      </c>
      <c r="G116" s="14" t="s">
        <v>214</v>
      </c>
      <c r="H116" s="17">
        <v>0.22512397926800948</v>
      </c>
    </row>
    <row r="117">
      <c r="B117" s="28">
        <v>49644</v>
      </c>
      <c r="C117" s="1">
        <v>43541.624747347269</v>
      </c>
      <c r="G117" s="14" t="s">
        <v>215</v>
      </c>
      <c r="H117" s="17">
        <v>0.22512397926800948</v>
      </c>
    </row>
    <row r="118">
      <c r="B118" s="28">
        <v>49675</v>
      </c>
      <c r="C118" s="1">
        <v>43541.624747347269</v>
      </c>
      <c r="G118" s="14" t="s">
        <v>216</v>
      </c>
      <c r="H118" s="17">
        <v>0.2233927653801511</v>
      </c>
    </row>
    <row r="119">
      <c r="B119" s="28">
        <v>49706</v>
      </c>
      <c r="C119" s="1">
        <v>43552.307803545991</v>
      </c>
      <c r="G119" s="14" t="s">
        <v>217</v>
      </c>
      <c r="H119" s="17">
        <v>0.2233927653801511</v>
      </c>
    </row>
    <row r="120">
      <c r="B120" s="28">
        <v>49735</v>
      </c>
      <c r="C120" s="1">
        <v>43552.307803545991</v>
      </c>
      <c r="G120" s="14" t="s">
        <v>218</v>
      </c>
      <c r="H120" s="17">
        <v>0.2233927653801511</v>
      </c>
    </row>
    <row r="121">
      <c r="B121" s="28">
        <v>49766</v>
      </c>
      <c r="C121" s="1">
        <v>43552.307803545991</v>
      </c>
      <c r="G121" s="14" t="s">
        <v>219</v>
      </c>
      <c r="H121" s="17">
        <v>0.22166078202896228</v>
      </c>
    </row>
    <row r="122">
      <c r="B122" s="28">
        <v>49796</v>
      </c>
      <c r="C122" s="1">
        <v>43558.059639988765</v>
      </c>
      <c r="G122" s="14" t="s">
        <v>220</v>
      </c>
      <c r="H122" s="17">
        <v>0.22166078202896228</v>
      </c>
    </row>
    <row r="123">
      <c r="B123" s="28">
        <v>49827</v>
      </c>
      <c r="C123" s="1">
        <v>43606.588138512991</v>
      </c>
      <c r="G123" s="14" t="s">
        <v>221</v>
      </c>
      <c r="H123" s="17">
        <v>0.22166078202896228</v>
      </c>
    </row>
    <row r="124">
      <c r="B124" s="28">
        <v>49857</v>
      </c>
      <c r="C124" s="1">
        <v>43672.074917920829</v>
      </c>
      <c r="G124" s="14" t="s">
        <v>222</v>
      </c>
      <c r="H124" s="17">
        <v>0.2199287986777734</v>
      </c>
    </row>
    <row r="125">
      <c r="B125" s="28">
        <v>49888</v>
      </c>
      <c r="C125" s="1">
        <v>43672.240330210683</v>
      </c>
      <c r="G125" s="14" t="s">
        <v>223</v>
      </c>
      <c r="H125" s="17">
        <v>0.2199287986777734</v>
      </c>
    </row>
    <row r="126">
      <c r="B126" s="28">
        <v>49919</v>
      </c>
      <c r="C126" s="1">
        <v>43690.310597594835</v>
      </c>
      <c r="G126" s="14" t="s">
        <v>224</v>
      </c>
      <c r="H126" s="17">
        <v>0.2199287986777734</v>
      </c>
    </row>
    <row r="127">
      <c r="B127" s="28">
        <v>49949</v>
      </c>
      <c r="C127" s="1">
        <v>43696.205290106118</v>
      </c>
      <c r="G127" s="14" t="s">
        <v>225</v>
      </c>
      <c r="H127" s="17">
        <v>0.21819758478991505</v>
      </c>
    </row>
    <row r="128">
      <c r="B128" s="28">
        <v>49980</v>
      </c>
      <c r="C128" s="1">
        <v>43714.45076692677</v>
      </c>
      <c r="G128" s="14" t="s">
        <v>226</v>
      </c>
      <c r="H128" s="17">
        <v>0.21819758478991505</v>
      </c>
    </row>
    <row r="129">
      <c r="B129" s="28">
        <v>50010</v>
      </c>
      <c r="C129" s="1">
        <v>43743.122230502078</v>
      </c>
      <c r="G129" s="14" t="s">
        <v>227</v>
      </c>
      <c r="H129" s="17">
        <v>0.21819758478991505</v>
      </c>
    </row>
    <row r="130">
      <c r="B130" s="28">
        <v>50041</v>
      </c>
      <c r="C130" s="1">
        <v>43743.122230502078</v>
      </c>
      <c r="G130" s="14" t="s">
        <v>228</v>
      </c>
      <c r="H130" s="17">
        <v>0.2164656014387262</v>
      </c>
    </row>
    <row r="131">
      <c r="B131" s="28">
        <v>50072</v>
      </c>
      <c r="C131" s="1">
        <v>43753.423935376923</v>
      </c>
      <c r="G131" s="14" t="s">
        <v>229</v>
      </c>
      <c r="H131" s="17">
        <v>0.2164656014387262</v>
      </c>
    </row>
    <row r="132">
      <c r="B132" s="28">
        <v>50100</v>
      </c>
      <c r="C132" s="1">
        <v>43753.423935376923</v>
      </c>
      <c r="G132" s="14" t="s">
        <v>230</v>
      </c>
      <c r="H132" s="17">
        <v>0.2164656014387262</v>
      </c>
    </row>
    <row r="133">
      <c r="B133" s="28">
        <v>50131</v>
      </c>
      <c r="C133" s="1">
        <v>43753.423935376923</v>
      </c>
      <c r="G133" s="14" t="s">
        <v>231</v>
      </c>
      <c r="H133" s="17">
        <v>0.21473361808753735</v>
      </c>
    </row>
    <row r="134">
      <c r="B134" s="28">
        <v>50161</v>
      </c>
      <c r="C134" s="1">
        <v>43758.994927860324</v>
      </c>
      <c r="G134" s="14" t="s">
        <v>232</v>
      </c>
      <c r="H134" s="17">
        <v>0.21473361808753735</v>
      </c>
    </row>
    <row r="135">
      <c r="B135" s="28">
        <v>50192</v>
      </c>
      <c r="C135" s="1">
        <v>43805.997637898952</v>
      </c>
      <c r="G135" s="14" t="s">
        <v>233</v>
      </c>
      <c r="H135" s="17">
        <v>0.21473361808753735</v>
      </c>
    </row>
    <row r="136">
      <c r="B136" s="28">
        <v>50222</v>
      </c>
      <c r="C136" s="1">
        <v>43869.425442126878</v>
      </c>
      <c r="G136" s="14" t="s">
        <v>234</v>
      </c>
      <c r="H136" s="17">
        <v>0.21473361808753735</v>
      </c>
    </row>
    <row r="137">
      <c r="B137" s="28">
        <v>50253</v>
      </c>
      <c r="C137" s="1">
        <v>43869.585653675422</v>
      </c>
      <c r="G137" s="14" t="s">
        <v>235</v>
      </c>
      <c r="H137" s="17">
        <v>0.21300240419967897</v>
      </c>
    </row>
    <row r="138">
      <c r="B138" s="28">
        <v>50284</v>
      </c>
      <c r="C138" s="1">
        <v>43887.08777230687</v>
      </c>
      <c r="G138" s="14" t="s">
        <v>236</v>
      </c>
      <c r="H138" s="17">
        <v>0.21300240419967897</v>
      </c>
    </row>
    <row r="139">
      <c r="B139" s="28">
        <v>50314</v>
      </c>
      <c r="C139" s="1">
        <v>43892.797129309467</v>
      </c>
      <c r="G139" s="14" t="s">
        <v>237</v>
      </c>
      <c r="H139" s="17">
        <v>0.21300240419967897</v>
      </c>
    </row>
    <row r="140">
      <c r="B140" s="28">
        <v>50345</v>
      </c>
      <c r="C140" s="1">
        <v>43910.468948603215</v>
      </c>
      <c r="G140" s="14" t="s">
        <v>238</v>
      </c>
      <c r="H140" s="17">
        <v>0.21127042084849015</v>
      </c>
    </row>
    <row r="141">
      <c r="B141" s="28">
        <v>50375</v>
      </c>
      <c r="C141" s="1">
        <v>43938.238950350555</v>
      </c>
      <c r="G141" s="14" t="s">
        <v>239</v>
      </c>
      <c r="H141" s="17">
        <v>0.21127042084849015</v>
      </c>
    </row>
    <row r="142">
      <c r="B142" s="28">
        <v>50406</v>
      </c>
      <c r="C142" s="1">
        <v>43938.238950350555</v>
      </c>
      <c r="G142" s="14" t="s">
        <v>240</v>
      </c>
      <c r="H142" s="17">
        <v>0.21127042084849015</v>
      </c>
    </row>
    <row r="143">
      <c r="B143" s="28">
        <v>50437</v>
      </c>
      <c r="C143" s="1">
        <v>43948.216758481045</v>
      </c>
      <c r="G143" s="14" t="s">
        <v>241</v>
      </c>
      <c r="H143" s="17">
        <v>0.20953843749730128</v>
      </c>
    </row>
    <row r="144">
      <c r="B144" s="28">
        <v>50465</v>
      </c>
      <c r="C144" s="1">
        <v>43948.216758481045</v>
      </c>
      <c r="G144" s="14" t="s">
        <v>242</v>
      </c>
      <c r="H144" s="17">
        <v>0.20953843749730128</v>
      </c>
    </row>
    <row r="145">
      <c r="B145" s="28">
        <v>50496</v>
      </c>
      <c r="C145" s="1">
        <v>43948.216758481045</v>
      </c>
      <c r="G145" s="14" t="s">
        <v>243</v>
      </c>
      <c r="H145" s="17">
        <v>0.20953843749730128</v>
      </c>
    </row>
    <row r="146">
      <c r="B146" s="28">
        <v>50526</v>
      </c>
      <c r="C146" s="1">
        <v>43953.632303431419</v>
      </c>
      <c r="G146" s="14" t="s">
        <v>244</v>
      </c>
      <c r="H146" s="17">
        <v>0.20953843749730128</v>
      </c>
    </row>
    <row r="147">
      <c r="B147" s="28">
        <v>50557</v>
      </c>
      <c r="C147" s="1">
        <v>43999.323495757031</v>
      </c>
      <c r="G147" s="14" t="s">
        <v>245</v>
      </c>
      <c r="H147" s="17">
        <v>0.2078072236094429</v>
      </c>
    </row>
    <row r="148">
      <c r="B148" s="28">
        <v>50587</v>
      </c>
      <c r="C148" s="1">
        <v>44060.981472486201</v>
      </c>
      <c r="G148" s="14" t="s">
        <v>246</v>
      </c>
      <c r="H148" s="17">
        <v>0.2078072236094429</v>
      </c>
    </row>
    <row r="149">
      <c r="B149" s="28">
        <v>50618</v>
      </c>
      <c r="C149" s="1">
        <v>44061.137213648173</v>
      </c>
      <c r="G149" s="14" t="s">
        <v>247</v>
      </c>
      <c r="H149" s="17">
        <v>0.2078072236094429</v>
      </c>
    </row>
    <row r="150">
      <c r="B150" s="28">
        <v>50649</v>
      </c>
      <c r="C150" s="1">
        <v>44078.150970255796</v>
      </c>
      <c r="G150" s="14" t="s">
        <v>248</v>
      </c>
      <c r="H150" s="17">
        <v>0.20607524025825408</v>
      </c>
    </row>
    <row r="151">
      <c r="B151" s="28">
        <v>50679</v>
      </c>
      <c r="C151" s="1">
        <v>44083.701018936968</v>
      </c>
      <c r="G151" s="14" t="s">
        <v>249</v>
      </c>
      <c r="H151" s="17">
        <v>0.20607524025825408</v>
      </c>
    </row>
    <row r="152">
      <c r="B152" s="28">
        <v>50710</v>
      </c>
      <c r="C152" s="1">
        <v>44100.879741045363</v>
      </c>
      <c r="G152" s="14" t="s">
        <v>250</v>
      </c>
      <c r="H152" s="17">
        <v>0.20607524025825408</v>
      </c>
    </row>
    <row r="153">
      <c r="B153" s="28">
        <v>50740</v>
      </c>
      <c r="C153" s="1">
        <v>44127.8748757871</v>
      </c>
      <c r="G153" s="14" t="s">
        <v>251</v>
      </c>
      <c r="H153" s="17">
        <v>0.20607524025825408</v>
      </c>
    </row>
    <row r="154">
      <c r="B154" s="28">
        <v>50771</v>
      </c>
      <c r="C154" s="1">
        <v>44127.8748757871</v>
      </c>
      <c r="G154" s="14" t="s">
        <v>252</v>
      </c>
      <c r="H154" s="17">
        <v>0.20434325690706523</v>
      </c>
    </row>
    <row r="155">
      <c r="B155" s="28">
        <v>50802</v>
      </c>
      <c r="C155" s="1">
        <v>44137.574272904923</v>
      </c>
      <c r="G155" s="14" t="s">
        <v>253</v>
      </c>
      <c r="H155" s="17">
        <v>0.20434325690706523</v>
      </c>
    </row>
    <row r="156">
      <c r="B156" s="28">
        <v>50830</v>
      </c>
      <c r="C156" s="1">
        <v>44137.574272904923</v>
      </c>
      <c r="G156" s="14" t="s">
        <v>254</v>
      </c>
      <c r="H156" s="17">
        <v>0.20434325690706523</v>
      </c>
    </row>
    <row r="157">
      <c r="B157" s="28">
        <v>50861</v>
      </c>
      <c r="C157" s="1">
        <v>44137.574272904923</v>
      </c>
      <c r="G157" s="14" t="s">
        <v>255</v>
      </c>
      <c r="H157" s="17">
        <v>0.20261204301920682</v>
      </c>
    </row>
    <row r="158">
      <c r="B158" s="28">
        <v>50891</v>
      </c>
      <c r="C158" s="1">
        <v>44141.916036936032</v>
      </c>
      <c r="G158" s="14" t="s">
        <v>256</v>
      </c>
      <c r="H158" s="17">
        <v>0.20261204301920682</v>
      </c>
    </row>
    <row r="159">
      <c r="B159" s="28">
        <v>50922</v>
      </c>
      <c r="C159" s="1">
        <v>44178.547692142551</v>
      </c>
      <c r="G159" s="14" t="s">
        <v>257</v>
      </c>
      <c r="H159" s="17">
        <v>0.20261204301920682</v>
      </c>
    </row>
    <row r="160">
      <c r="B160" s="28">
        <v>50952</v>
      </c>
      <c r="C160" s="1">
        <v>44227.980277052535</v>
      </c>
      <c r="G160" s="14" t="s">
        <v>258</v>
      </c>
      <c r="H160" s="17">
        <v>0.20261204301920682</v>
      </c>
    </row>
    <row r="161">
      <c r="B161" s="28">
        <v>50983</v>
      </c>
      <c r="C161" s="1">
        <v>44228.10513824036</v>
      </c>
      <c r="G161" s="14" t="s">
        <v>259</v>
      </c>
      <c r="H161" s="17">
        <v>0.20088005966801797</v>
      </c>
    </row>
    <row r="162">
      <c r="B162" s="28">
        <v>51014</v>
      </c>
      <c r="C162" s="1">
        <v>44241.745449076989</v>
      </c>
      <c r="G162" s="14" t="s">
        <v>260</v>
      </c>
      <c r="H162" s="17">
        <v>0.20088005966801797</v>
      </c>
    </row>
    <row r="163">
      <c r="B163" s="28">
        <v>51044</v>
      </c>
      <c r="C163" s="1">
        <v>44246.195047770307</v>
      </c>
      <c r="G163" s="14" t="s">
        <v>261</v>
      </c>
      <c r="H163" s="17">
        <v>0.20088005966801797</v>
      </c>
    </row>
    <row r="164">
      <c r="B164" s="28">
        <v>51075</v>
      </c>
      <c r="C164" s="1">
        <v>44259.967615154368</v>
      </c>
      <c r="G164" s="14" t="s">
        <v>262</v>
      </c>
      <c r="H164" s="17">
        <v>0.20088005966801797</v>
      </c>
    </row>
    <row r="165">
      <c r="B165" s="28">
        <v>51105</v>
      </c>
      <c r="C165" s="1">
        <v>44281.610221043622</v>
      </c>
      <c r="G165" s="14" t="s">
        <v>263</v>
      </c>
      <c r="H165" s="17">
        <v>0.19914807631682915</v>
      </c>
    </row>
    <row r="166">
      <c r="B166" s="28">
        <v>51136</v>
      </c>
      <c r="C166" s="1">
        <v>44281.610221043622</v>
      </c>
      <c r="G166" s="14" t="s">
        <v>264</v>
      </c>
      <c r="H166" s="17">
        <v>0.19914807631682915</v>
      </c>
    </row>
    <row r="167">
      <c r="B167" s="28">
        <v>51167</v>
      </c>
      <c r="C167" s="1">
        <v>44289.386445581578</v>
      </c>
      <c r="G167" s="14" t="s">
        <v>265</v>
      </c>
      <c r="H167" s="17">
        <v>0.19914807631682915</v>
      </c>
    </row>
    <row r="168">
      <c r="B168" s="28">
        <v>51196</v>
      </c>
      <c r="C168" s="1">
        <v>44289.386445581578</v>
      </c>
      <c r="G168" s="14" t="s">
        <v>266</v>
      </c>
      <c r="H168" s="17">
        <v>0.19914807631682915</v>
      </c>
    </row>
    <row r="169">
      <c r="B169" s="28">
        <v>51227</v>
      </c>
      <c r="C169" s="1">
        <v>44289.386445581578</v>
      </c>
      <c r="G169" s="14" t="s">
        <v>267</v>
      </c>
      <c r="H169" s="17">
        <v>0.19741686242897075</v>
      </c>
    </row>
    <row r="170">
      <c r="B170" s="28">
        <v>51257</v>
      </c>
      <c r="C170" s="1">
        <v>44293.606959898178</v>
      </c>
      <c r="G170" s="14" t="s">
        <v>268</v>
      </c>
      <c r="H170" s="17">
        <v>0.19741686242897075</v>
      </c>
    </row>
    <row r="171">
      <c r="B171" s="28">
        <v>51288</v>
      </c>
      <c r="C171" s="1">
        <v>44329.215625899444</v>
      </c>
      <c r="G171" s="14" t="s">
        <v>269</v>
      </c>
      <c r="H171" s="17">
        <v>0.19741686242897075</v>
      </c>
    </row>
    <row r="172">
      <c r="B172" s="28">
        <v>51318</v>
      </c>
      <c r="C172" s="1">
        <v>44377.267738088078</v>
      </c>
      <c r="G172" s="14" t="s">
        <v>270</v>
      </c>
      <c r="H172" s="17">
        <v>0.19741686242897075</v>
      </c>
    </row>
    <row r="173">
      <c r="B173" s="28">
        <v>51349</v>
      </c>
      <c r="C173" s="1">
        <v>44377.389112356002</v>
      </c>
      <c r="G173" s="14" t="s">
        <v>271</v>
      </c>
      <c r="H173" s="17">
        <v>0.19568487907778193</v>
      </c>
    </row>
    <row r="174">
      <c r="B174" s="28">
        <v>51380</v>
      </c>
      <c r="C174" s="1">
        <v>44390.648498807335</v>
      </c>
      <c r="G174" s="14" t="s">
        <v>272</v>
      </c>
      <c r="H174" s="17">
        <v>0.19568487907778193</v>
      </c>
    </row>
    <row r="175">
      <c r="B175" s="28">
        <v>51410</v>
      </c>
      <c r="C175" s="1">
        <v>44394.973836355326</v>
      </c>
      <c r="G175" s="14" t="s">
        <v>273</v>
      </c>
      <c r="H175" s="17">
        <v>0.19568487907778193</v>
      </c>
    </row>
    <row r="176">
      <c r="B176" s="28">
        <v>51441</v>
      </c>
      <c r="C176" s="1">
        <v>44408.361785908637</v>
      </c>
      <c r="G176" s="14" t="s">
        <v>274</v>
      </c>
      <c r="H176" s="17">
        <v>0.19568487907778193</v>
      </c>
    </row>
    <row r="177">
      <c r="B177" s="28">
        <v>51471</v>
      </c>
      <c r="C177" s="1">
        <v>44429.399992349558</v>
      </c>
      <c r="G177" s="14" t="s">
        <v>275</v>
      </c>
      <c r="H177" s="17">
        <v>0.19395289572659308</v>
      </c>
    </row>
    <row r="178">
      <c r="B178" s="28">
        <v>51502</v>
      </c>
      <c r="C178" s="1">
        <v>44429.399992349558</v>
      </c>
      <c r="G178" s="14" t="s">
        <v>276</v>
      </c>
      <c r="H178" s="17">
        <v>0.19395289572659308</v>
      </c>
    </row>
    <row r="179">
      <c r="B179" s="28">
        <v>51533</v>
      </c>
      <c r="C179" s="1">
        <v>44436.959055153631</v>
      </c>
      <c r="G179" s="14" t="s">
        <v>277</v>
      </c>
      <c r="H179" s="17">
        <v>0.19395289572659308</v>
      </c>
    </row>
    <row r="180">
      <c r="B180" s="28">
        <v>51561</v>
      </c>
      <c r="C180" s="1">
        <v>44436.959055153631</v>
      </c>
      <c r="G180" s="14" t="s">
        <v>278</v>
      </c>
      <c r="H180" s="17">
        <v>0.19395289572659308</v>
      </c>
    </row>
    <row r="181">
      <c r="B181" s="28">
        <v>51592</v>
      </c>
      <c r="C181" s="1">
        <v>44436.959055153631</v>
      </c>
      <c r="G181" s="14" t="s">
        <v>279</v>
      </c>
      <c r="H181" s="17">
        <v>0.1922216818387347</v>
      </c>
    </row>
    <row r="182">
      <c r="B182" s="28">
        <v>51622</v>
      </c>
      <c r="C182" s="1">
        <v>44441.072389191984</v>
      </c>
      <c r="G182" s="14" t="s">
        <v>280</v>
      </c>
      <c r="H182" s="17">
        <v>0.1922216818387347</v>
      </c>
    </row>
    <row r="183">
      <c r="B183" s="28">
        <v>51653</v>
      </c>
      <c r="C183" s="1">
        <v>44475.776770444063</v>
      </c>
      <c r="G183" s="14" t="s">
        <v>281</v>
      </c>
      <c r="H183" s="17">
        <v>0.1922216818387347</v>
      </c>
    </row>
    <row r="184">
      <c r="B184" s="28">
        <v>51683</v>
      </c>
      <c r="C184" s="1">
        <v>44522.608595632439</v>
      </c>
      <c r="G184" s="14" t="s">
        <v>282</v>
      </c>
      <c r="H184" s="17">
        <v>0.1922216818387347</v>
      </c>
    </row>
    <row r="185">
      <c r="B185" s="28">
        <v>51714</v>
      </c>
      <c r="C185" s="1">
        <v>44522.726887591714</v>
      </c>
      <c r="G185" s="14" t="s">
        <v>283</v>
      </c>
      <c r="H185" s="17">
        <v>0.1922216818387347</v>
      </c>
    </row>
    <row r="186">
      <c r="B186" s="28">
        <v>51745</v>
      </c>
      <c r="C186" s="1">
        <v>44535.649550927643</v>
      </c>
      <c r="G186" s="14" t="s">
        <v>284</v>
      </c>
      <c r="H186" s="17">
        <v>0.19048969848754585</v>
      </c>
    </row>
    <row r="187">
      <c r="B187" s="28">
        <v>51775</v>
      </c>
      <c r="C187" s="1">
        <v>44539.865046203544</v>
      </c>
      <c r="G187" s="14" t="s">
        <v>285</v>
      </c>
      <c r="H187" s="17">
        <v>0.19048969848754585</v>
      </c>
    </row>
    <row r="188">
      <c r="B188" s="28">
        <v>51806</v>
      </c>
      <c r="C188" s="1">
        <v>44552.913007771807</v>
      </c>
      <c r="G188" s="14" t="s">
        <v>286</v>
      </c>
      <c r="H188" s="17">
        <v>0.19048969848754585</v>
      </c>
    </row>
    <row r="189">
      <c r="B189" s="28">
        <v>51836</v>
      </c>
      <c r="C189" s="1">
        <v>44573.41694737909</v>
      </c>
      <c r="G189" s="14" t="s">
        <v>287</v>
      </c>
      <c r="H189" s="17">
        <v>0.19048969848754585</v>
      </c>
    </row>
    <row r="190">
      <c r="G190" s="14" t="s">
        <v>288</v>
      </c>
      <c r="H190" s="17">
        <v>0.188757715136357</v>
      </c>
    </row>
    <row r="191">
      <c r="G191" s="14" t="s">
        <v>289</v>
      </c>
      <c r="H191" s="17">
        <v>0.188757715136357</v>
      </c>
    </row>
    <row r="192">
      <c r="G192" s="14" t="s">
        <v>290</v>
      </c>
      <c r="H192" s="17">
        <v>0.188757715136357</v>
      </c>
    </row>
    <row r="193">
      <c r="G193" s="14" t="s">
        <v>291</v>
      </c>
      <c r="H193" s="17">
        <v>0.188757715136357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4.399999618530273"/>
  <sheetData>
    <row r="3" ht="28.799999237060547">
      <c r="B3" s="6" t="s">
        <v>292</v>
      </c>
      <c r="C3" s="6" t="s">
        <v>293</v>
      </c>
      <c r="D3" s="6" t="s">
        <v>294</v>
      </c>
      <c r="E3" s="6" t="s">
        <v>295</v>
      </c>
      <c r="F3" s="6" t="s">
        <v>296</v>
      </c>
      <c r="G3" s="6" t="s">
        <v>297</v>
      </c>
    </row>
    <row r="4" ht="28.799999237060547">
      <c r="B4" s="7" t="s">
        <v>298</v>
      </c>
      <c r="C4" s="10">
        <v>1.5800000000000002E-2</v>
      </c>
      <c r="D4" s="10">
        <v>1.7000000000000001E-2</v>
      </c>
      <c r="E4" s="10">
        <v>1.9E-2</v>
      </c>
      <c r="F4" s="11">
        <v>2.1000000000000001E-2</v>
      </c>
      <c r="G4" s="7" t="s">
        <v>299</v>
      </c>
    </row>
    <row r="5" ht="28.799999237060547">
      <c r="B5" s="7" t="s">
        <v>300</v>
      </c>
      <c r="C5" s="10">
        <v>0.80600000000000005</v>
      </c>
      <c r="D5" s="10">
        <v>0.80700000000000005</v>
      </c>
      <c r="E5" s="10">
        <v>0.80800000000000005</v>
      </c>
      <c r="F5" s="11">
        <v>0.81</v>
      </c>
      <c r="G5" s="7" t="s">
        <v>301</v>
      </c>
    </row>
    <row r="6" ht="28.799999237060547">
      <c r="B6" s="7" t="s">
        <v>302</v>
      </c>
      <c r="C6" s="10">
        <v>0.80700000000000005</v>
      </c>
      <c r="D6" s="10">
        <v>0.80800000000000005</v>
      </c>
      <c r="E6" s="10">
        <v>0.81100000000000005</v>
      </c>
      <c r="F6" s="11">
        <v>0.81499999999999995</v>
      </c>
      <c r="G6" s="7" t="s">
        <v>299</v>
      </c>
    </row>
    <row r="7" ht="28.799999237060547">
      <c r="B7" s="7" t="s">
        <v>303</v>
      </c>
      <c r="C7" s="7" t="s">
        <v>304</v>
      </c>
      <c r="D7" s="7">
        <v>8.1999999999999993</v>
      </c>
      <c r="E7" s="7">
        <v>7.8</v>
      </c>
      <c r="F7" s="12">
        <v>7.3</v>
      </c>
      <c r="G7" s="7" t="s">
        <v>305</v>
      </c>
    </row>
    <row r="8">
      <c r="B8" s="7" t="s">
        <v>306</v>
      </c>
      <c r="C8" s="8">
        <v>0.41</v>
      </c>
      <c r="D8" s="8">
        <v>0.35</v>
      </c>
      <c r="E8" s="8">
        <v>0.38</v>
      </c>
      <c r="F8" s="9">
        <v>0.39</v>
      </c>
      <c r="G8" s="7" t="s">
        <v>299</v>
      </c>
    </row>
    <row r="9" ht="28.799999237060547">
      <c r="B9" s="7" t="s">
        <v>307</v>
      </c>
      <c r="C9" s="8">
        <v>0.9</v>
      </c>
      <c r="D9" s="8">
        <v>0.82</v>
      </c>
      <c r="E9" s="8">
        <v>0.85</v>
      </c>
      <c r="F9" s="9">
        <v>0.87</v>
      </c>
      <c r="G9" s="7" t="s">
        <v>308</v>
      </c>
    </row>
    <row r="10" ht="28.799999237060547">
      <c r="B10" s="7" t="s">
        <v>309</v>
      </c>
      <c r="C10" s="8">
        <v>0.84</v>
      </c>
      <c r="D10" s="7" t="s">
        <v>138</v>
      </c>
      <c r="E10" s="7" t="s">
        <v>138</v>
      </c>
      <c r="F10" s="8">
        <v>0.83</v>
      </c>
      <c r="G10" s="7" t="s">
        <v>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24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</cols>
  <sheetData>
    <row r="1" ht="28" customHeight="1">
      <c r="A1" s="74" t="str">
        <v>LLT Product Mix — monthly source data</v>
      </c>
      <c r="B1" s="74"/>
      <c r="C1" s="74"/>
      <c r="D1" s="74"/>
      <c r="E1" s="74"/>
      <c r="F1" s="74"/>
      <c r="G1" s="74"/>
    </row>
    <row r="2">
      <c r="A2" s="82" t="str">
        <v>Shares migrated from the prototype; patient counts are derived in the dashboard from the total pool.</v>
      </c>
      <c r="B2" s="82"/>
      <c r="C2" s="82"/>
      <c r="D2" s="82"/>
      <c r="E2" s="82"/>
      <c r="F2" s="82"/>
      <c r="G2" s="82"/>
    </row>
    <row r="3" ht="34" customHeight="1">
      <c r="A3" s="79" t="str">
        <v>Month</v>
      </c>
      <c r="B3" s="79" t="str">
        <v>Total advanced LLT patients (M)</v>
      </c>
      <c r="C3" s="79" t="str">
        <v>Ezetimibe share</v>
      </c>
      <c r="D3" s="79" t="str">
        <v>Bempedoic share</v>
      </c>
      <c r="E3" s="79" t="str">
        <v>Repatha share</v>
      </c>
      <c r="F3" s="79" t="str">
        <v>Leqvio share</v>
      </c>
      <c r="G3" s="79" t="str">
        <v>Liphendra share</v>
      </c>
    </row>
    <row r="4" ht="20" customHeight="1">
      <c r="A4" s="83" t="n">
        <v>45658</v>
      </c>
      <c r="B4" s="84" t="n">
        <v>0.9</v>
      </c>
      <c r="C4" s="85" t="n">
        <v>0.46</v>
      </c>
      <c r="D4" s="85" t="n">
        <v>0.18</v>
      </c>
      <c r="E4" s="85" t="n">
        <v>0.24</v>
      </c>
      <c r="F4" s="85" t="n">
        <v>0.12</v>
      </c>
      <c r="G4" s="85" t="n">
        <v>0</v>
      </c>
    </row>
    <row r="5" ht="20" customHeight="1">
      <c r="A5" s="83" t="n">
        <v>45689</v>
      </c>
      <c r="B5" s="84" t="n">
        <v>0.91</v>
      </c>
      <c r="C5" s="85" t="n">
        <v>0.4567</v>
      </c>
      <c r="D5" s="85" t="n">
        <v>0.18</v>
      </c>
      <c r="E5" s="85" t="n">
        <v>0.24</v>
      </c>
      <c r="F5" s="85" t="n">
        <v>0.1233</v>
      </c>
      <c r="G5" s="85" t="n">
        <v>0</v>
      </c>
    </row>
    <row r="6" ht="20" customHeight="1">
      <c r="A6" s="83" t="n">
        <v>45717</v>
      </c>
      <c r="B6" s="84" t="n">
        <v>0.92</v>
      </c>
      <c r="C6" s="85" t="n">
        <v>0.4533</v>
      </c>
      <c r="D6" s="85" t="n">
        <v>0.18</v>
      </c>
      <c r="E6" s="85" t="n">
        <v>0.24</v>
      </c>
      <c r="F6" s="85" t="n">
        <v>0.1267</v>
      </c>
      <c r="G6" s="85" t="n">
        <v>0</v>
      </c>
    </row>
    <row r="7" ht="20" customHeight="1">
      <c r="A7" s="83" t="n">
        <v>45748</v>
      </c>
      <c r="B7" s="84" t="n">
        <v>0.93</v>
      </c>
      <c r="C7" s="85" t="n">
        <v>0.45</v>
      </c>
      <c r="D7" s="85" t="n">
        <v>0.18</v>
      </c>
      <c r="E7" s="85" t="n">
        <v>0.24</v>
      </c>
      <c r="F7" s="85" t="n">
        <v>0.13</v>
      </c>
      <c r="G7" s="85" t="n">
        <v>0</v>
      </c>
    </row>
    <row r="8" ht="20" customHeight="1">
      <c r="A8" s="83" t="n">
        <v>45778</v>
      </c>
      <c r="B8" s="84" t="n">
        <v>0.94</v>
      </c>
      <c r="C8" s="85" t="n">
        <v>0.44670000000000004</v>
      </c>
      <c r="D8" s="85" t="n">
        <v>0.17670000000000002</v>
      </c>
      <c r="E8" s="85" t="n">
        <v>0.2433</v>
      </c>
      <c r="F8" s="85" t="n">
        <v>0.1333</v>
      </c>
      <c r="G8" s="85" t="n">
        <v>0</v>
      </c>
    </row>
    <row r="9" ht="20" customHeight="1">
      <c r="A9" s="83" t="n">
        <v>45809</v>
      </c>
      <c r="B9" s="84" t="n">
        <v>0.95</v>
      </c>
      <c r="C9" s="85" t="n">
        <v>0.44329999999999997</v>
      </c>
      <c r="D9" s="85" t="n">
        <v>0.17329999999999998</v>
      </c>
      <c r="E9" s="85" t="n">
        <v>0.24670000000000003</v>
      </c>
      <c r="F9" s="85" t="n">
        <v>0.1367</v>
      </c>
      <c r="G9" s="85" t="n">
        <v>0</v>
      </c>
    </row>
    <row r="10" ht="20" customHeight="1">
      <c r="A10" s="83" t="n">
        <v>45839</v>
      </c>
      <c r="B10" s="84" t="n">
        <v>0.96</v>
      </c>
      <c r="C10" s="85" t="n">
        <v>0.44</v>
      </c>
      <c r="D10" s="85" t="n">
        <v>0.17</v>
      </c>
      <c r="E10" s="85" t="n">
        <v>0.25</v>
      </c>
      <c r="F10" s="85" t="n">
        <v>0.14</v>
      </c>
      <c r="G10" s="85" t="n">
        <v>0</v>
      </c>
    </row>
    <row r="11" ht="20" customHeight="1">
      <c r="A11" s="83" t="n">
        <v>45870</v>
      </c>
      <c r="B11" s="84" t="n">
        <v>0.97</v>
      </c>
      <c r="C11" s="85" t="n">
        <v>0.43670000000000003</v>
      </c>
      <c r="D11" s="85" t="n">
        <v>0.17</v>
      </c>
      <c r="E11" s="85" t="n">
        <v>0.25</v>
      </c>
      <c r="F11" s="85" t="n">
        <v>0.1433</v>
      </c>
      <c r="G11" s="85" t="n">
        <v>0</v>
      </c>
    </row>
    <row r="12" ht="20" customHeight="1">
      <c r="A12" s="83" t="n">
        <v>45901</v>
      </c>
      <c r="B12" s="84" t="n">
        <v>0.98</v>
      </c>
      <c r="C12" s="85" t="n">
        <v>0.43329999999999996</v>
      </c>
      <c r="D12" s="85" t="n">
        <v>0.17</v>
      </c>
      <c r="E12" s="85" t="n">
        <v>0.25</v>
      </c>
      <c r="F12" s="85" t="n">
        <v>0.1467</v>
      </c>
      <c r="G12" s="85" t="n">
        <v>0</v>
      </c>
    </row>
    <row r="13" ht="20" customHeight="1">
      <c r="A13" s="83" t="n">
        <v>45931</v>
      </c>
      <c r="B13" s="84" t="n">
        <v>0.99</v>
      </c>
      <c r="C13" s="85" t="n">
        <v>0.43</v>
      </c>
      <c r="D13" s="85" t="n">
        <v>0.17</v>
      </c>
      <c r="E13" s="85" t="n">
        <v>0.25</v>
      </c>
      <c r="F13" s="85" t="n">
        <v>0.15</v>
      </c>
      <c r="G13" s="85" t="n">
        <v>0</v>
      </c>
    </row>
    <row r="14" ht="20" customHeight="1">
      <c r="A14" s="83" t="n">
        <v>45962</v>
      </c>
      <c r="B14" s="84" t="n">
        <v>1</v>
      </c>
      <c r="C14" s="85" t="n">
        <v>0.4267</v>
      </c>
      <c r="D14" s="85" t="n">
        <v>0.16670000000000001</v>
      </c>
      <c r="E14" s="85" t="n">
        <v>0.25329999999999997</v>
      </c>
      <c r="F14" s="85" t="n">
        <v>0.1533</v>
      </c>
      <c r="G14" s="85" t="n">
        <v>0</v>
      </c>
    </row>
    <row r="15" ht="20" customHeight="1">
      <c r="A15" s="83" t="n">
        <v>45992</v>
      </c>
      <c r="B15" s="84" t="n">
        <v>1.01</v>
      </c>
      <c r="C15" s="85" t="n">
        <v>0.4233</v>
      </c>
      <c r="D15" s="85" t="n">
        <v>0.16329999999999997</v>
      </c>
      <c r="E15" s="85" t="n">
        <v>0.25670000000000004</v>
      </c>
      <c r="F15" s="85" t="n">
        <v>0.1567</v>
      </c>
      <c r="G15" s="85" t="n">
        <v>0</v>
      </c>
    </row>
    <row r="16" ht="20" customHeight="1">
      <c r="A16" s="83" t="n">
        <v>46023</v>
      </c>
      <c r="B16" s="84" t="n">
        <v>1.02</v>
      </c>
      <c r="C16" s="85" t="n">
        <v>0.42</v>
      </c>
      <c r="D16" s="85" t="n">
        <v>0.16</v>
      </c>
      <c r="E16" s="85" t="n">
        <v>0.26</v>
      </c>
      <c r="F16" s="85" t="n">
        <v>0.16</v>
      </c>
      <c r="G16" s="85" t="n">
        <v>0</v>
      </c>
    </row>
    <row r="17" ht="20" customHeight="1">
      <c r="A17" s="83" t="n">
        <v>46054</v>
      </c>
      <c r="B17" s="84" t="n">
        <v>1.03</v>
      </c>
      <c r="C17" s="85" t="n">
        <v>0.4133</v>
      </c>
      <c r="D17" s="85" t="n">
        <v>0.1567</v>
      </c>
      <c r="E17" s="85" t="n">
        <v>0.26</v>
      </c>
      <c r="F17" s="85" t="n">
        <v>0.16329999999999997</v>
      </c>
      <c r="G17" s="85" t="n">
        <v>0.01</v>
      </c>
    </row>
    <row r="18" ht="20" customHeight="1">
      <c r="A18" s="83" t="n">
        <v>46082</v>
      </c>
      <c r="B18" s="84" t="n">
        <v>1.04</v>
      </c>
      <c r="C18" s="85" t="n">
        <v>0.4067</v>
      </c>
      <c r="D18" s="85" t="n">
        <v>0.1533</v>
      </c>
      <c r="E18" s="85" t="n">
        <v>0.26</v>
      </c>
      <c r="F18" s="85" t="n">
        <v>0.16670000000000001</v>
      </c>
      <c r="G18" s="85" t="n">
        <v>0.02</v>
      </c>
    </row>
    <row r="19" ht="20" customHeight="1">
      <c r="A19" s="83" t="n">
        <v>46113</v>
      </c>
      <c r="B19" s="84" t="n">
        <v>1.05</v>
      </c>
      <c r="C19" s="85" t="n">
        <v>0.4</v>
      </c>
      <c r="D19" s="85" t="n">
        <v>0.15</v>
      </c>
      <c r="E19" s="85" t="n">
        <v>0.26</v>
      </c>
      <c r="F19" s="85" t="n">
        <v>0.17</v>
      </c>
      <c r="G19" s="85" t="n">
        <v>0.03</v>
      </c>
    </row>
    <row r="20" ht="20" customHeight="1">
      <c r="A20" s="83" t="n">
        <v>46143</v>
      </c>
      <c r="B20" s="84" t="n">
        <v>1.06</v>
      </c>
      <c r="C20" s="85" t="n">
        <v>0.39</v>
      </c>
      <c r="D20" s="85" t="n">
        <v>0.1467</v>
      </c>
      <c r="E20" s="85" t="n">
        <v>0.25670000000000004</v>
      </c>
      <c r="F20" s="85" t="n">
        <v>0.17</v>
      </c>
      <c r="G20" s="85" t="n">
        <v>0.0433</v>
      </c>
    </row>
    <row r="21" ht="20" customHeight="1">
      <c r="A21" s="83" t="n">
        <v>46174</v>
      </c>
      <c r="B21" s="84" t="n">
        <v>1.07</v>
      </c>
      <c r="C21" s="85" t="n">
        <v>0.38</v>
      </c>
      <c r="D21" s="85" t="n">
        <v>0.1433</v>
      </c>
      <c r="E21" s="85" t="n">
        <v>0.25329999999999997</v>
      </c>
      <c r="F21" s="85" t="n">
        <v>0.17</v>
      </c>
      <c r="G21" s="85" t="n">
        <v>0.0567</v>
      </c>
    </row>
    <row r="22" ht="20" customHeight="1">
      <c r="A22" s="83" t="n">
        <v>46204</v>
      </c>
      <c r="B22" s="84" t="n">
        <v>1.08</v>
      </c>
      <c r="C22" s="85" t="n">
        <v>0.37</v>
      </c>
      <c r="D22" s="85" t="n">
        <v>0.14</v>
      </c>
      <c r="E22" s="85" t="n">
        <v>0.25</v>
      </c>
      <c r="F22" s="85" t="n">
        <v>0.17</v>
      </c>
      <c r="G22" s="85" t="n">
        <v>0.07</v>
      </c>
    </row>
    <row r="23" ht="20" customHeight="1">
      <c r="A23" s="83" t="n">
        <v>46235</v>
      </c>
      <c r="B23" s="84" t="n">
        <v>1.09</v>
      </c>
      <c r="C23" s="85" t="n">
        <v>0.36</v>
      </c>
      <c r="D23" s="85" t="n">
        <v>0.1367</v>
      </c>
      <c r="E23" s="85" t="n">
        <v>0.24670000000000003</v>
      </c>
      <c r="F23" s="85" t="n">
        <v>0.17</v>
      </c>
      <c r="G23" s="85" t="n">
        <v>0.0867</v>
      </c>
    </row>
    <row r="24" ht="20" customHeight="1">
      <c r="A24" s="83" t="n">
        <v>46266</v>
      </c>
      <c r="B24" s="84" t="n">
        <v>1.1</v>
      </c>
      <c r="C24" s="85" t="n">
        <v>0.35</v>
      </c>
      <c r="D24" s="85" t="n">
        <v>0.1333</v>
      </c>
      <c r="E24" s="85" t="n">
        <v>0.2433</v>
      </c>
      <c r="F24" s="85" t="n">
        <v>0.17</v>
      </c>
      <c r="G24" s="85" t="n">
        <v>0.1033</v>
      </c>
    </row>
    <row r="25" ht="20" customHeight="1">
      <c r="A25" s="83" t="n">
        <v>46296</v>
      </c>
      <c r="B25" s="84" t="n">
        <v>1.11</v>
      </c>
      <c r="C25" s="85" t="n">
        <v>0.34</v>
      </c>
      <c r="D25" s="85" t="n">
        <v>0.13</v>
      </c>
      <c r="E25" s="85" t="n">
        <v>0.24</v>
      </c>
      <c r="F25" s="85" t="n">
        <v>0.17</v>
      </c>
      <c r="G25" s="85" t="n">
        <v>0.12</v>
      </c>
    </row>
    <row r="26" ht="20" customHeight="1">
      <c r="A26" s="83" t="n">
        <v>46327</v>
      </c>
      <c r="B26" s="84" t="n">
        <v>1.11</v>
      </c>
      <c r="C26" s="85" t="n">
        <v>0.34</v>
      </c>
      <c r="D26" s="85" t="n">
        <v>0.13</v>
      </c>
      <c r="E26" s="85" t="n">
        <v>0.24</v>
      </c>
      <c r="F26" s="85" t="n">
        <v>0.17</v>
      </c>
      <c r="G26" s="85" t="n">
        <v>0.12</v>
      </c>
    </row>
    <row r="27" ht="20" customHeight="1">
      <c r="A27" s="83" t="n">
        <v>46357</v>
      </c>
      <c r="B27" s="84" t="n">
        <v>1.11</v>
      </c>
      <c r="C27" s="85" t="n">
        <v>0.34</v>
      </c>
      <c r="D27" s="85" t="n">
        <v>0.13</v>
      </c>
      <c r="E27" s="85" t="n">
        <v>0.24</v>
      </c>
      <c r="F27" s="85" t="n">
        <v>0.17</v>
      </c>
      <c r="G27" s="85" t="n">
        <v>0.12</v>
      </c>
    </row>
  </sheetData>
  <mergeCells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8" hidden="0" customWidth="1"/>
    <col min="3" max="3" width="18" hidden="0" customWidth="1"/>
  </cols>
  <sheetData>
    <row r="1" ht="28" customHeight="1">
      <c r="A1" s="74" t="str">
        <v>Prescriber Breadth vs Depth — source data</v>
      </c>
      <c r="B1" s="74"/>
      <c r="C1" s="74"/>
    </row>
    <row r="2">
      <c r="A2" s="82" t="str">
        <v>Prototype data migrated into the workbook for maintainable dashboard updates.</v>
      </c>
      <c r="B2" s="82"/>
      <c r="C2" s="82"/>
    </row>
    <row r="3" ht="34" customHeight="1">
      <c r="A3" s="79" t="str">
        <v>Specialty</v>
      </c>
      <c r="B3" s="79" t="str">
        <v>Writers</v>
      </c>
      <c r="C3" s="79" t="str">
        <v>TRx per writer</v>
      </c>
    </row>
    <row r="4" ht="20" customHeight="1">
      <c r="A4" s="80" t="str">
        <v>Cardiology</v>
      </c>
      <c r="B4" s="86" t="n">
        <v>3200</v>
      </c>
      <c r="C4" s="87" t="n">
        <v>6.1</v>
      </c>
    </row>
    <row r="5" ht="20" customHeight="1">
      <c r="A5" s="80" t="str">
        <v>Primary care</v>
      </c>
      <c r="B5" s="86" t="n">
        <v>2600</v>
      </c>
      <c r="C5" s="87" t="n">
        <v>3.4</v>
      </c>
    </row>
    <row r="6" ht="20" customHeight="1">
      <c r="A6" s="80" t="str">
        <v>Lipid spec.</v>
      </c>
      <c r="B6" s="86" t="n">
        <v>900</v>
      </c>
      <c r="C6" s="87" t="n">
        <v>9.2</v>
      </c>
    </row>
  </sheetData>
  <mergeCells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4" hidden="0" customWidth="1"/>
    <col min="3" max="3" width="14" hidden="0" customWidth="1"/>
    <col min="4" max="4" width="24" hidden="0" customWidth="1"/>
  </cols>
  <sheetData>
    <row r="1" ht="28" customHeight="1">
      <c r="A1" s="74" t="str">
        <v>Liphendra Compliance — monthly source data</v>
      </c>
      <c r="B1" s="74"/>
      <c r="C1" s="74"/>
      <c r="D1" s="74"/>
    </row>
    <row r="2">
      <c r="A2" s="82" t="str">
        <v>Illustrative claims-based view; replace values as the ongoing claims feed becomes available.</v>
      </c>
      <c r="B2" s="82"/>
      <c r="C2" s="82"/>
      <c r="D2" s="82"/>
    </row>
    <row r="3" ht="34" customHeight="1">
      <c r="A3" s="79" t="str">
        <v>Month</v>
      </c>
      <c r="B3" s="79" t="str">
        <v>Forecast</v>
      </c>
      <c r="C3" s="79" t="str">
        <v>Actuals</v>
      </c>
      <c r="D3" s="79" t="str">
        <v>Source</v>
      </c>
    </row>
    <row r="4" ht="20" customHeight="1">
      <c r="A4" s="83" t="n">
        <v>46204</v>
      </c>
      <c r="B4" s="88" t="n">
        <v>0.84</v>
      </c>
      <c r="C4" s="88" t="n">
        <v>0.79</v>
      </c>
      <c r="D4" s="80" t="str">
        <v>Illustrative claims data</v>
      </c>
    </row>
    <row r="5" ht="20" customHeight="1">
      <c r="A5" s="83" t="n">
        <v>46235</v>
      </c>
      <c r="B5" s="88" t="n">
        <v>0.84</v>
      </c>
      <c r="C5" s="88" t="n">
        <v>0.8</v>
      </c>
      <c r="D5" s="80" t="str">
        <v>Illustrative claims data</v>
      </c>
    </row>
    <row r="6" ht="20" customHeight="1">
      <c r="A6" s="83" t="n">
        <v>46266</v>
      </c>
      <c r="B6" s="88" t="n">
        <v>0.84</v>
      </c>
      <c r="C6" s="88" t="n">
        <v>0.81</v>
      </c>
      <c r="D6" s="80" t="str">
        <v>Illustrative claims data</v>
      </c>
    </row>
    <row r="7" ht="20" customHeight="1">
      <c r="A7" s="83" t="n">
        <v>46296</v>
      </c>
      <c r="B7" s="88" t="n">
        <v>0.84</v>
      </c>
      <c r="C7" s="88" t="n">
        <v>0.82</v>
      </c>
      <c r="D7" s="80" t="str">
        <v>Illustrative claims data</v>
      </c>
    </row>
    <row r="8" ht="20" customHeight="1">
      <c r="A8" s="83" t="n">
        <v>46327</v>
      </c>
      <c r="B8" s="88" t="n">
        <v>0.84</v>
      </c>
      <c r="C8" s="88" t="n">
        <v>0.82</v>
      </c>
      <c r="D8" s="80" t="str">
        <v>Illustrative claims data</v>
      </c>
    </row>
    <row r="9" ht="20" customHeight="1">
      <c r="A9" s="83" t="n">
        <v>46357</v>
      </c>
      <c r="B9" s="88" t="n">
        <v>0.84</v>
      </c>
      <c r="C9" s="88" t="n">
        <v>0.83</v>
      </c>
      <c r="D9" s="80" t="str">
        <v>Illustrative claims data</v>
      </c>
    </row>
  </sheetData>
  <mergeCells>
    <mergeCell ref="A1:D1"/>
    <mergeCell ref="A2:D2"/>
  </mergeCells>
  <pageMargins left="0.7" right="0.7" top="0.75" bottom="0.75" header="0.3" footer="0.3"/>
</worksheet>
</file>