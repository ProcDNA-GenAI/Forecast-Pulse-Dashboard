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 firstSheet="5" activeTab="7"/>
  </bookViews>
  <sheets>
    <sheet sheetId="1" name="Market growth" state="visible" r:id="rId4"/>
    <sheet sheetId="2" name="Patient split" state="visible" r:id="rId5"/>
    <sheet sheetId="5" name="Product Uptake" state="visible" r:id="rId6"/>
    <sheet sheetId="3" name="Source of Liphendra starts" state="visible" r:id="rId7"/>
    <sheet sheetId="6" name="Liphendra NPS and Persistency" state="visible" r:id="rId8"/>
    <sheet sheetId="4" name="Assumption Monitor" state="visible" r:id="rId9"/>
    <sheet sheetId="7" name="LLT Product Mix" state="visible" r:id="rId10"/>
    <sheet sheetId="8" name="Prescriber Breadth Depth" state="visible" r:id="rId11"/>
    <sheet sheetId="9" name="Compliance" state="visible" r:id="rId12"/>
  </sheets>
  <calcPr calcId="171027"/>
</workbook>
</file>

<file path=xl/sharedStrings.xml><?xml version="1.0" encoding="utf-8"?>
<sst xmlns="http://schemas.openxmlformats.org/spreadsheetml/2006/main" count="355" uniqueCount="323">
  <si>
    <t>Year</t>
  </si>
  <si>
    <t>Forecast</t>
  </si>
  <si>
    <t>Actuals</t>
  </si>
  <si>
    <t>Use Case, let's say forecast was made with data available thru end of 2025 but when showing actuals, we have another 6 month</t>
  </si>
  <si>
    <t>of date thru Jun'26. These latest 6 months look very promosing, so that can alter how we think about market growth</t>
  </si>
  <si>
    <t>previous data points (end of 2025) in the forecast suggested CAGR of 1.6% but now with additional data points, it's expected to be</t>
  </si>
  <si>
    <t>2.1%. The deviation that will cause in the LLT market is what we're trying to showcase.</t>
  </si>
  <si>
    <t>Impact of recent deviations in how we think market will expand</t>
  </si>
  <si>
    <t>Table 1</t>
  </si>
  <si>
    <t>Major Patient Segment</t>
  </si>
  <si>
    <t>Current forecast distribution</t>
  </si>
  <si>
    <t>ASCVD</t>
  </si>
  <si>
    <t>Diabetes without ASCVD</t>
  </si>
  <si>
    <t>No ASCVD / Diabetes</t>
  </si>
  <si>
    <t>Table 2</t>
  </si>
  <si>
    <t>Source: Hybrid approach _data requirement_vf.02 (Forian Data - Qral Outputs)</t>
  </si>
  <si>
    <t>Patient Segment</t>
  </si>
  <si>
    <t>Patient Split - Forecast</t>
  </si>
  <si>
    <t>Patient Split - Lates based on claims</t>
  </si>
  <si>
    <t>ASCVD 21+ Points Above Goal | Max Dose Statin and/or Combo Therapy</t>
  </si>
  <si>
    <t xml:space="preserve">1D
——
Inadequately Treated (Max Tolerated Statin)
21+ pts above goal</t>
  </si>
  <si>
    <t>ASCVD at Goal</t>
  </si>
  <si>
    <t xml:space="preserve">1F
——
 Any Treatment
At goal (≤5)</t>
  </si>
  <si>
    <t>ASCVD 21+ Points Above Goal | Intolerant/Unwilling to Use Statins</t>
  </si>
  <si>
    <t xml:space="preserve">1B
——
Statin Intolerant / Unwilling
21+ pts above goal</t>
  </si>
  <si>
    <t>ASCVD 6-20 Points Above Goal| Intolerant/Unwilling to Use Statins</t>
  </si>
  <si>
    <t xml:space="preserve">1A
——
Statin Intolerant / Unwilling
6–20 pts above goal</t>
  </si>
  <si>
    <t>ASCVD 6-20 Points Above Goal | Max Dose Statin and/or Combo Therapy</t>
  </si>
  <si>
    <t xml:space="preserve">1C
——
Inadequately Treated (Max Tolerated Statin)
6–20 pts above goal</t>
  </si>
  <si>
    <t>ASCVD | Statin Only Treatment</t>
  </si>
  <si>
    <t xml:space="preserve">1E
——
No treatment beyond statin needed
6+ pts above goal</t>
  </si>
  <si>
    <t>PP w/T2D 21+ Points Above Goal | Max Dose Statin and/or Combo Therapy</t>
  </si>
  <si>
    <t xml:space="preserve">2D
——
Inadequately Treated (Max Tolerated Statin)
21+ pts above goal</t>
  </si>
  <si>
    <t>PP w/T2D 6-20 Points Above Goal | Max Dose Statin and/or Combo Therapy</t>
  </si>
  <si>
    <t xml:space="preserve">2C
——
Inadequately Treated (Max Tolerated Statin)
6–20 pts above goal</t>
  </si>
  <si>
    <t>PP w/T2D at Goal</t>
  </si>
  <si>
    <t xml:space="preserve">2F
——
 Any Treatment
At goal (≤5)</t>
  </si>
  <si>
    <t>PP w/T2D 6-20 Points Above Goal | Intolerant/Unwilling to Use Statins</t>
  </si>
  <si>
    <t xml:space="preserve">2B
——
Statin Intolerant / Unwilling
21+ pts above goal</t>
  </si>
  <si>
    <t>PP w/T2D 21+ Points Above Goal | Intolerant/Unwilling to Use Statins</t>
  </si>
  <si>
    <t xml:space="preserve">2A
——
Statin Intolerant / Unwilling
6–20 pts above goal</t>
  </si>
  <si>
    <t>PP w/T2D | Statin Only Treatment</t>
  </si>
  <si>
    <t xml:space="preserve">2E
——
No treatment beyond statin needed
6+ pts above goal</t>
  </si>
  <si>
    <t>PP without T2D - Other Risk Factors</t>
  </si>
  <si>
    <t>3 - No ASCVD/Diabetes – Other Risk Factors</t>
  </si>
  <si>
    <t>PP without T2D - No significant risk factor</t>
  </si>
  <si>
    <t>4 - No ASCVD/Diabetes –  No Significant Risk Factors</t>
  </si>
  <si>
    <t>Total - Base case</t>
  </si>
  <si>
    <t xml:space="preserve">3A
——
Statin Intolerant or Inadequate
0+ pts above goal</t>
  </si>
  <si>
    <t xml:space="preserve">3B
——
No treatment beyond statin needed 
0+ pts above goal</t>
  </si>
  <si>
    <t xml:space="preserve">3C
——
Not treated</t>
  </si>
  <si>
    <t xml:space="preserve">4
——
Statin Intolerant or Inadequate 
0+ pts above goal</t>
  </si>
  <si>
    <t xml:space="preserve">4
——
No treatment beyond statin needed
0+ pts above goal</t>
  </si>
  <si>
    <t xml:space="preserve">4
——
Statin Intolerant or Inadequate or Statin Titrated
0+ pts above goal</t>
  </si>
  <si>
    <t xml:space="preserve">1G
——
Not treated
At goal (≤5 above)</t>
  </si>
  <si>
    <t xml:space="preserve">1H
——
Not treated
6+ pts above goal</t>
  </si>
  <si>
    <t xml:space="preserve">2G
——
Not treated
At goal (≤5 above)</t>
  </si>
  <si>
    <t xml:space="preserve">2H
——
Not treated
6+ pts above goal</t>
  </si>
  <si>
    <t>Month</t>
  </si>
  <si>
    <t>Modelled Curve</t>
  </si>
  <si>
    <t>Lipfendra Uptake</t>
  </si>
  <si>
    <t>Forecast NPS Count</t>
  </si>
  <si>
    <t>Actual NPS Count</t>
  </si>
  <si>
    <t>Newly intensified from conventional LLT</t>
  </si>
  <si>
    <t>Switch from advanced competitors</t>
  </si>
  <si>
    <t>Other/Unknown</t>
  </si>
  <si>
    <t>Active Lipfendra writers</t>
  </si>
  <si>
    <t>% Rx from top 10% writers</t>
  </si>
  <si>
    <t>% Rx from top 25% writers</t>
  </si>
  <si>
    <t>Avg. Rx per active writer</t>
  </si>
  <si>
    <t>New writers added</t>
  </si>
  <si>
    <t>Total advanced LLT patients*</t>
  </si>
  <si>
    <t>MoM growth</t>
  </si>
  <si>
    <t>Active HCP universe for advanced LLTs</t>
  </si>
  <si>
    <t>Median time to escalation</t>
  </si>
  <si>
    <t>1.00M</t>
  </si>
  <si>
    <t>—</t>
  </si>
  <si>
    <t>8.5 mo.</t>
  </si>
  <si>
    <t>1.01M</t>
  </si>
  <si>
    <t>8.4 mo.</t>
  </si>
  <si>
    <t>1.02M</t>
  </si>
  <si>
    <t>8.2 mo.</t>
  </si>
  <si>
    <t>1.04M</t>
  </si>
  <si>
    <t>8.0 mo.</t>
  </si>
  <si>
    <t>1.06M</t>
  </si>
  <si>
    <t>7.8 mo.</t>
  </si>
  <si>
    <t>1.08M</t>
  </si>
  <si>
    <t>7.6 mo.</t>
  </si>
  <si>
    <t>NPS</t>
  </si>
  <si>
    <t>Persistency</t>
  </si>
  <si>
    <t>Forecasted NPS</t>
  </si>
  <si>
    <t>Actual NPS</t>
  </si>
  <si>
    <t>New Forecast Blended Curve</t>
  </si>
  <si>
    <t>Lipfendra</t>
  </si>
  <si>
    <t>Ezetimibe</t>
  </si>
  <si>
    <t>Bempedoic</t>
  </si>
  <si>
    <t>Repatha</t>
  </si>
  <si>
    <t>Leqvio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</si>
  <si>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</si>
  <si>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</si>
  <si>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</si>
  <si>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</si>
  <si>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</si>
  <si>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</si>
  <si>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</si>
  <si>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</si>
  <si>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</si>
  <si>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</si>
  <si>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</si>
  <si>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</si>
  <si>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</si>
  <si>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</si>
  <si>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</si>
  <si>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</si>
  <si>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</si>
  <si>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</si>
  <si>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</si>
  <si>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</si>
  <si>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</si>
  <si>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</si>
  <si>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</si>
  <si>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</si>
  <si>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</si>
  <si>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</si>
  <si>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</si>
  <si>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</si>
  <si>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</si>
  <si>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</si>
  <si>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</si>
  <si>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</si>
  <si>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</si>
  <si>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</si>
  <si>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</si>
  <si>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</si>
  <si>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</si>
  <si>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</si>
  <si>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</si>
  <si>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</si>
  <si>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</si>
  <si>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</si>
  <si>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</si>
  <si>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</si>
  <si>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</si>
  <si>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</si>
  <si>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</si>
  <si>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</si>
  <si>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</si>
  <si>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</si>
  <si>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</si>
  <si>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</si>
  <si>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</si>
  <si>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</si>
  <si>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</si>
  <si>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</si>
  <si>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</si>
  <si>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</si>
  <si>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</si>
  <si>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</si>
  <si>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</si>
  <si>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</si>
  <si>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</si>
  <si>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</si>
  <si>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</si>
  <si>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</si>
  <si>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</si>
  <si>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</si>
  <si>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</si>
  <si>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</si>
  <si>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</si>
  <si>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</si>
  <si>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</si>
  <si>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</si>
  <si>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</si>
  <si>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</si>
  <si>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</si>
  <si>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</si>
  <si>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</si>
  <si>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</si>
  <si>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</si>
  <si>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</si>
  <si>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</si>
  <si>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</si>
  <si>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</si>
  <si>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</si>
  <si>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</si>
  <si>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</si>
  <si>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</si>
  <si>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</si>
  <si>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</si>
  <si>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</si>
  <si>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</si>
  <si>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</si>
  <si>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</si>
  <si>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</si>
  <si>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</si>
  <si>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</si>
  <si>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</si>
  <si>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</si>
  <si>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</si>
  <si>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</si>
  <si>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</si>
  <si>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</si>
  <si>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</si>
  <si>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</si>
  <si>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</si>
  <si>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</si>
  <si>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</si>
  <si>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</si>
  <si>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</si>
  <si>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</si>
  <si>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</si>
  <si>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</si>
  <si>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</si>
  <si>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</si>
  <si>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</si>
  <si>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</si>
  <si>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</si>
  <si>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</si>
  <si>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</si>
  <si>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</si>
  <si>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</si>
  <si>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</si>
  <si>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</si>
  <si>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</si>
  <si>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</si>
  <si>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</si>
  <si>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</si>
  <si>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</si>
  <si>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</si>
  <si>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</si>
  <si>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</si>
  <si>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</si>
  <si>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</si>
  <si>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</si>
  <si>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</si>
  <si>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</si>
  <si>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</si>
  <si>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</si>
  <si>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</si>
  <si>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</si>
  <si>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</si>
  <si>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</si>
  <si>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</si>
  <si>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</si>
  <si>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</si>
  <si>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</si>
  <si>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</si>
  <si>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</si>
  <si>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</si>
  <si>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</si>
  <si>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</si>
  <si>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</si>
  <si>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</si>
  <si>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</si>
  <si>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</si>
  <si>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</si>
  <si>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</si>
  <si>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</si>
  <si>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</si>
  <si>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</si>
  <si>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</si>
  <si>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</si>
  <si>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</si>
  <si>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</si>
  <si>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</si>
  <si>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</si>
  <si>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</si>
  <si>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</si>
  <si>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</si>
  <si>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</si>
  <si>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</si>
  <si>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</si>
  <si>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</si>
  <si>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</si>
  <si>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</si>
  <si>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</si>
  <si>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</si>
  <si>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</si>
  <si>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</si>
  <si>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</si>
  <si>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</si>
  <si>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</si>
  <si>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</si>
  <si>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</si>
  <si>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</si>
  <si>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</si>
  <si>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</si>
  <si>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</si>
  <si>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Assumption</t>
  </si>
  <si>
    <t>Base Forecast</t>
  </si>
  <si>
    <t>Aug Evidence</t>
  </si>
  <si>
    <t>Oct Evidence</t>
  </si>
  <si>
    <t>Dec Evidence</t>
  </si>
  <si>
    <t>Status</t>
  </si>
  <si>
    <t>Source</t>
  </si>
  <si>
    <t>Market CAGR</t>
  </si>
  <si>
    <t>Monitor</t>
  </si>
  <si>
    <t>Forian claims</t>
  </si>
  <si>
    <t>Diagnosis rate</t>
  </si>
  <si>
    <t>Holds</t>
  </si>
  <si>
    <t>Treatment rate</t>
  </si>
  <si>
    <t>Escalation time</t>
  </si>
  <si>
    <t>8.4 mo</t>
  </si>
  <si>
    <t>Compliance</t>
  </si>
  <si>
    <t>LLT Product Mix — monthly source data</t>
  </si>
  <si>
    <t>Shares migrated from the prototype; patient counts are derived in the dashboard from the total pool.</t>
  </si>
  <si>
    <t>Total advanced LLT patients (M)</t>
  </si>
  <si>
    <t>Ezetimibe share</t>
  </si>
  <si>
    <t>Bempedoic share</t>
  </si>
  <si>
    <t>Repatha share</t>
  </si>
  <si>
    <t>Leqvio share</t>
  </si>
  <si>
    <t>Liphendra share</t>
  </si>
  <si>
    <t>Prescriber Breadth vs Depth — source data</t>
  </si>
  <si>
    <t>Prototype data migrated into the workbook for maintainable dashboard updates.</t>
  </si>
  <si>
    <t>Specialty</t>
  </si>
  <si>
    <t>Writers</t>
  </si>
  <si>
    <t>TRx per writer</t>
  </si>
  <si>
    <t>Cardiology</t>
  </si>
  <si>
    <t>Primary care</t>
  </si>
  <si>
    <t>Other spec.</t>
  </si>
  <si>
    <t>Liphendra Compliance — monthly source data</t>
  </si>
  <si>
    <t>Illustrative claims-based view; replace values as the ongoing claims feed becomes available.</t>
  </si>
  <si>
    <t>Illustrative claims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</si>
</sst>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.#,,&quot;M&quot;"/>
    <numFmt numFmtId="165" formatCode="0.0%"/>
    <numFmt numFmtId="166" formatCode="mmm yy"/>
    <numFmt numFmtId="167" formatCode="0.00&quot;M&quot;"/>
    <numFmt numFmtId="168" formatCode="0.0"/>
  </numFmts>
  <fonts count="19" x14ac:knownFonts="1">
    <font>
      <color theme="1"/>
      <family val="2"/>
      <scheme val="minor"/>
      <sz val="11"/>
      <name val="Calibri"/>
    </font>
    <font>
      <color theme="1"/>
      <sz val="11"/>
      <name val="Aptos Narrow"/>
    </font>
    <font>
      <b/>
      <color theme="1"/>
      <sz val="11"/>
      <name val="Aptos Narrow"/>
    </font>
    <font>
      <color theme="1"/>
      <sz val="11"/>
      <name val="Calibri"/>
    </font>
    <font>
      <b/>
      <color theme="1"/>
      <sz val="11"/>
      <name val="Calibri"/>
    </font>
    <font>
      <i/>
      <color theme="1"/>
      <sz val="11"/>
      <name val="Aptos Narrow"/>
    </font>
    <font>
      <b/>
      <color rgb="FF2E5CA8"/>
      <sz val="10"/>
      <name val="Calibri"/>
    </font>
    <font>
      <color rgb="FFFF0000"/>
      <sz val="10"/>
      <name val="Calibri"/>
    </font>
    <font>
      <color rgb="FF000000"/>
      <sz val="8"/>
      <name val="Calibri"/>
    </font>
    <font>
      <color rgb="FF000000"/>
      <sz val="10"/>
      <name val="Calibri"/>
    </font>
    <font>
      <b/>
      <color rgb="FF000000"/>
      <sz val="10"/>
      <name val="Calibri"/>
    </font>
    <font>
      <b/>
      <color rgb="FF000000"/>
      <sz val="11"/>
      <name val="Aptos Narrow"/>
    </font>
    <font>
      <color rgb="FF000000"/>
      <sz val="11"/>
      <name val="Aptos Narrow"/>
    </font>
    <font>
      <b/>
      <color rgb="FFFFFFFF"/>
      <sz val="11"/>
      <name val="Aptos Narrow"/>
    </font>
    <font>
      <b/>
      <color theme="1"/>
      <family val="2"/>
      <scheme val="minor"/>
      <sz val="11"/>
      <name val="Calibri"/>
    </font>
    <font>
      <b/>
      <i/>
      <color theme="1"/>
      <sz val="11"/>
      <name val="Aptos Narrow"/>
    </font>
    <font>
      <color rgb="FF000000"/>
      <family val="2"/>
      <sz val="11"/>
      <name val="Aptos Narrow"/>
    </font>
    <font>
      <b/>
      <color rgb="FFFFFFFF"/>
      <sz val="15"/>
      <name val="Aptos Narrow"/>
    </font>
    <font>
      <i/>
      <color rgb="FF667085"/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3F4FB"/>
      </patternFill>
    </fill>
    <fill>
      <patternFill patternType="solid">
        <fgColor rgb="FFFFFF00"/>
      </patternFill>
    </fill>
    <fill>
      <patternFill patternType="solid">
        <fgColor rgb="FFF8ECE8"/>
      </patternFill>
    </fill>
    <fill>
      <patternFill patternType="solid">
        <fgColor rgb="FFE8EAF1"/>
      </patternFill>
    </fill>
    <fill>
      <patternFill patternType="solid">
        <fgColor rgb="FFEBF0E9"/>
      </patternFill>
    </fill>
    <fill>
      <patternFill patternType="solid">
        <fgColor rgb="FFECEBEC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1769AA"/>
        <bgColor rgb="FF000000"/>
      </patternFill>
    </fill>
    <fill>
      <patternFill patternType="solid">
        <fgColor theme="5" tint="0.7999511703848384"/>
        <bgColor indexed="65"/>
      </patternFill>
    </fill>
    <fill>
      <patternFill patternType="solid">
        <fgColor rgb="FF1769AA"/>
      </patternFill>
    </fill>
    <fill>
      <patternFill patternType="solid">
        <fgColor rgb="FF0B4F7D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rgb="FFFFFFFF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/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indexed="64"/>
      </bottom>
      <diagonal/>
    </border>
    <border>
      <left style="medium">
        <color rgb="FFFFFFFF"/>
      </left>
      <right style="thin">
        <color indexed="64"/>
      </right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medium">
        <color rgb="FFFFFFFF"/>
      </right>
      <top style="thin">
        <color indexed="64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n">
        <color indexed="64"/>
      </top>
      <bottom style="medium">
        <color rgb="FFFFFFFF"/>
      </bottom>
      <diagonal/>
    </border>
    <border>
      <left style="medium">
        <color rgb="FFFFFFFF"/>
      </left>
      <right style="thin">
        <color indexed="64"/>
      </right>
      <top style="thin">
        <color indexed="64"/>
      </top>
      <bottom style="medium">
        <color rgb="FFFFFFFF"/>
      </bottom>
      <diagonal/>
    </border>
    <border>
      <left style="thin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thin">
        <color indexed="64"/>
      </right>
      <top style="medium">
        <color rgb="FFFFFFFF"/>
      </top>
      <bottom/>
      <diagonal/>
    </border>
    <border>
      <left style="thin">
        <color rgb="FFD9E4EE"/>
      </left>
      <right style="thin">
        <color rgb="FFD9E4EE"/>
      </right>
      <top style="thin">
        <color rgb="FFD9E4EE"/>
      </top>
      <bottom style="thin">
        <color rgb="FFD9E4EE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5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10" fontId="8" fillId="3" borderId="5" xfId="0" applyNumberFormat="1" applyFont="1" applyFill="1" applyBorder="1" applyAlignment="1">
      <alignment horizontal="center" wrapText="1"/>
    </xf>
    <xf numFmtId="10" fontId="8" fillId="3" borderId="6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0" fontId="7" fillId="3" borderId="7" xfId="0" applyFont="1" applyFill="1" applyBorder="1" applyAlignment="1">
      <alignment horizontal="left" vertical="center" wrapText="1"/>
    </xf>
    <xf numFmtId="10" fontId="8" fillId="3" borderId="8" xfId="0" applyNumberFormat="1" applyFont="1" applyFill="1" applyBorder="1" applyAlignment="1">
      <alignment horizontal="center" wrapText="1"/>
    </xf>
    <xf numFmtId="10" fontId="8" fillId="3" borderId="9" xfId="0" applyNumberFormat="1" applyFont="1" applyFill="1" applyBorder="1" applyAlignment="1">
      <alignment horizontal="center" wrapText="1"/>
    </xf>
    <xf numFmtId="0" fontId="9" fillId="4" borderId="7" xfId="0" applyFont="1" applyFill="1" applyBorder="1" applyAlignment="1">
      <alignment horizontal="left" vertical="center" wrapText="1"/>
    </xf>
    <xf numFmtId="10" fontId="8" fillId="4" borderId="8" xfId="0" applyNumberFormat="1" applyFont="1" applyFill="1" applyBorder="1" applyAlignment="1">
      <alignment horizontal="center" wrapText="1"/>
    </xf>
    <xf numFmtId="10" fontId="8" fillId="4" borderId="9" xfId="0" applyNumberFormat="1" applyFont="1" applyFill="1" applyBorder="1" applyAlignment="1">
      <alignment horizontal="center" wrapText="1"/>
    </xf>
    <xf numFmtId="0" fontId="9" fillId="4" borderId="10" xfId="0" applyFont="1" applyFill="1" applyBorder="1" applyAlignment="1">
      <alignment horizontal="left" vertical="center" wrapText="1"/>
    </xf>
    <xf numFmtId="10" fontId="8" fillId="4" borderId="11" xfId="0" applyNumberFormat="1" applyFont="1" applyFill="1" applyBorder="1" applyAlignment="1">
      <alignment horizontal="center" wrapText="1"/>
    </xf>
    <xf numFmtId="10" fontId="8" fillId="4" borderId="12" xfId="0" applyNumberFormat="1" applyFont="1" applyFill="1" applyBorder="1" applyAlignment="1">
      <alignment horizontal="center" wrapText="1"/>
    </xf>
    <xf numFmtId="0" fontId="7" fillId="5" borderId="13" xfId="0" applyFont="1" applyFill="1" applyBorder="1" applyAlignment="1">
      <alignment horizontal="left" vertical="center" wrapText="1"/>
    </xf>
    <xf numFmtId="10" fontId="8" fillId="5" borderId="14" xfId="0" applyNumberFormat="1" applyFont="1" applyFill="1" applyBorder="1" applyAlignment="1">
      <alignment horizontal="center" wrapText="1"/>
    </xf>
    <xf numFmtId="10" fontId="8" fillId="5" borderId="15" xfId="0" applyNumberFormat="1" applyFont="1" applyFill="1" applyBorder="1" applyAlignment="1">
      <alignment horizontal="center" wrapText="1"/>
    </xf>
    <xf numFmtId="0" fontId="9" fillId="5" borderId="7" xfId="0" applyFont="1" applyFill="1" applyBorder="1" applyAlignment="1">
      <alignment horizontal="left" vertical="center" wrapText="1"/>
    </xf>
    <xf numFmtId="10" fontId="8" fillId="5" borderId="8" xfId="0" applyNumberFormat="1" applyFont="1" applyFill="1" applyBorder="1" applyAlignment="1">
      <alignment horizontal="center" wrapText="1"/>
    </xf>
    <xf numFmtId="10" fontId="8" fillId="5" borderId="9" xfId="0" applyNumberFormat="1" applyFont="1" applyFill="1" applyBorder="1" applyAlignment="1">
      <alignment horizontal="center" wrapText="1"/>
    </xf>
    <xf numFmtId="0" fontId="9" fillId="5" borderId="10" xfId="0" applyFont="1" applyFill="1" applyBorder="1" applyAlignment="1">
      <alignment horizontal="left" vertical="center" wrapText="1"/>
    </xf>
    <xf numFmtId="10" fontId="8" fillId="5" borderId="11" xfId="0" applyNumberFormat="1" applyFont="1" applyFill="1" applyBorder="1" applyAlignment="1">
      <alignment horizontal="center" wrapText="1"/>
    </xf>
    <xf numFmtId="10" fontId="8" fillId="5" borderId="12" xfId="0" applyNumberFormat="1" applyFont="1" applyFill="1" applyBorder="1" applyAlignment="1">
      <alignment horizontal="center" wrapText="1"/>
    </xf>
    <xf numFmtId="0" fontId="7" fillId="6" borderId="13" xfId="0" applyFont="1" applyFill="1" applyBorder="1" applyAlignment="1">
      <alignment horizontal="left" vertical="center" wrapText="1"/>
    </xf>
    <xf numFmtId="10" fontId="8" fillId="6" borderId="14" xfId="0" applyNumberFormat="1" applyFont="1" applyFill="1" applyBorder="1" applyAlignment="1">
      <alignment horizontal="center" wrapText="1"/>
    </xf>
    <xf numFmtId="10" fontId="8" fillId="6" borderId="15" xfId="0" applyNumberFormat="1" applyFont="1" applyFill="1" applyBorder="1" applyAlignment="1">
      <alignment horizontal="center" wrapText="1"/>
    </xf>
    <xf numFmtId="0" fontId="9" fillId="6" borderId="16" xfId="0" applyFont="1" applyFill="1" applyBorder="1" applyAlignment="1">
      <alignment horizontal="left" vertical="center" wrapText="1"/>
    </xf>
    <xf numFmtId="10" fontId="8" fillId="6" borderId="17" xfId="0" applyNumberFormat="1" applyFont="1" applyFill="1" applyBorder="1" applyAlignment="1">
      <alignment horizontal="center" wrapText="1"/>
    </xf>
    <xf numFmtId="10" fontId="8" fillId="6" borderId="18" xfId="0" applyNumberFormat="1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center" vertical="center" wrapText="1"/>
    </xf>
    <xf numFmtId="10" fontId="10" fillId="7" borderId="2" xfId="0" applyNumberFormat="1" applyFont="1" applyFill="1" applyBorder="1" applyAlignment="1">
      <alignment horizontal="center" vertical="center" wrapText="1"/>
    </xf>
    <xf numFmtId="10" fontId="10" fillId="7" borderId="3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1" fillId="0" borderId="0" xfId="0" applyFont="1" applyAlignment="1">
      <alignment horizontal="center"/>
    </xf>
    <xf numFmtId="0" fontId="12" fillId="8" borderId="0" xfId="0" applyFont="1" applyFill="1" applyAlignment="1">
      <alignment horizontal="center"/>
    </xf>
    <xf numFmtId="0" fontId="12" fillId="9" borderId="0" xfId="0" applyFont="1" applyFill="1"/>
    <xf numFmtId="0" fontId="13" fillId="10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11" borderId="0" xfId="0" applyFont="1" applyFill="1"/>
    <xf numFmtId="0" fontId="13" fillId="12" borderId="0" xfId="0" applyFont="1" applyFill="1" applyAlignment="1">
      <alignment wrapText="1"/>
    </xf>
    <xf numFmtId="14" fontId="12" fillId="0" borderId="0" xfId="0" applyNumberFormat="1" applyFont="1" applyAlignment="1">
      <alignment horizontal="center"/>
    </xf>
    <xf numFmtId="9" fontId="12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3" fontId="12" fillId="0" borderId="0" xfId="0" applyNumberFormat="1" applyFont="1"/>
    <xf numFmtId="9" fontId="1" fillId="0" borderId="0" xfId="0" applyNumberFormat="1" applyFont="1" applyAlignment="1">
      <alignment horizontal="center"/>
    </xf>
    <xf numFmtId="9" fontId="1" fillId="11" borderId="0" xfId="0" applyNumberFormat="1" applyFont="1" applyFill="1"/>
    <xf numFmtId="0" fontId="1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6" fontId="1" fillId="0" borderId="0" xfId="0" applyNumberFormat="1" applyFont="1"/>
    <xf numFmtId="9" fontId="1" fillId="0" borderId="0" xfId="0" applyNumberFormat="1" applyFont="1" applyAlignment="1">
      <alignment vertical="center" wrapText="1"/>
    </xf>
    <xf numFmtId="9" fontId="2" fillId="0" borderId="0" xfId="0" applyNumberFormat="1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horizontal="right" vertical="center" wrapText="1"/>
    </xf>
    <xf numFmtId="9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9" fontId="1" fillId="0" borderId="0" xfId="0" applyNumberFormat="1" applyFont="1"/>
    <xf numFmtId="0" fontId="14" fillId="0" borderId="0" xfId="0" applyFont="1" applyAlignment="1">
      <alignment vertical="center" wrapText="1"/>
    </xf>
    <xf numFmtId="14" fontId="1" fillId="0" borderId="0" xfId="0" applyNumberFormat="1" applyFon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1" fillId="0" borderId="0" xfId="0" applyNumberFormat="1" applyFont="1"/>
    <xf numFmtId="9" fontId="16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7" fillId="13" borderId="0" xfId="0" applyFont="1" applyFill="1" applyAlignment="1">
      <alignment vertical="center"/>
    </xf>
    <xf numFmtId="0" fontId="18" fillId="0" borderId="0" xfId="0" applyFont="1" applyAlignment="1">
      <alignment wrapText="1"/>
    </xf>
    <xf numFmtId="0" fontId="13" fillId="12" borderId="19" xfId="0" applyFont="1" applyFill="1" applyBorder="1" applyAlignment="1">
      <alignment vertical="center" wrapText="1"/>
    </xf>
    <xf numFmtId="166" fontId="1" fillId="0" borderId="20" xfId="0" applyNumberFormat="1" applyFont="1" applyBorder="1"/>
    <xf numFmtId="167" fontId="1" fillId="0" borderId="20" xfId="0" applyNumberFormat="1" applyFont="1" applyBorder="1"/>
    <xf numFmtId="165" fontId="1" fillId="0" borderId="20" xfId="0" applyNumberFormat="1" applyFont="1" applyBorder="1"/>
    <xf numFmtId="0" fontId="1" fillId="0" borderId="20" xfId="0" applyFont="1" applyBorder="1"/>
    <xf numFmtId="3" fontId="1" fillId="0" borderId="20" xfId="0" applyNumberFormat="1" applyFont="1" applyBorder="1"/>
    <xf numFmtId="168" fontId="1" fillId="0" borderId="20" xfId="0" applyNumberFormat="1" applyFont="1" applyBorder="1"/>
    <xf numFmtId="9" fontId="1" fillId="0" borderId="2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4" displayName="Table14" ref="B3:I63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Month"/>
    <tableColumn id="2" name="Nurtec (Oral CGRP)"/>
    <tableColumn id="3" name="Ezetemibe"/>
    <tableColumn id="4" name="Farxiga"/>
    <tableColumn id="5" name="Jardiance"/>
    <tableColumn id="6" name="Ozempic"/>
    <tableColumn id="7" name="Nucala"/>
    <tableColumn id="8" name="Ubrelv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25"/>
  <sheetViews>
    <sheetView workbookViewId="0" showGridLines="0" zoomScale="100" zoomScaleNormal="100"/>
  </sheetViews>
  <sheetFormatPr defaultRowHeight="14.4" outlineLevelRow="0" outlineLevelCol="0" x14ac:dyDescent="0.3" customHeight="1"/>
  <cols>
    <col min="3" max="3" width="13.109375" customWidth="1"/>
    <col min="4" max="4" width="15" customWidth="1"/>
  </cols>
  <sheetData>
    <row r="3" ht="14.4" customHeight="1" spans="2:6" x14ac:dyDescent="0.25">
      <c r="B3" s="1" t="s">
        <v>0</v>
      </c>
      <c r="C3" s="2" t="s">
        <v>1</v>
      </c>
      <c r="D3" s="2" t="s">
        <v>2</v>
      </c>
      <c r="F3" t="s">
        <v>3</v>
      </c>
    </row>
    <row r="4" ht="14.4" customHeight="1" spans="2:6" x14ac:dyDescent="0.25">
      <c r="B4" s="1">
        <v>2026</v>
      </c>
      <c r="C4" s="3">
        <v>70276510.1282979</v>
      </c>
      <c r="D4" s="3">
        <v>70776510.1282979</v>
      </c>
      <c r="F4" t="s">
        <v>4</v>
      </c>
    </row>
    <row r="5" ht="14.4" customHeight="1" spans="2:6" x14ac:dyDescent="0.25">
      <c r="B5" s="1">
        <f t="shared" ref="B5:B21" si="0">B4+1</f>
        <v>2027</v>
      </c>
      <c r="C5" s="3">
        <v>71500000.1305315</v>
      </c>
      <c r="D5" s="3">
        <v>72300000.1305315</v>
      </c>
      <c r="F5" t="s">
        <v>5</v>
      </c>
    </row>
    <row r="6" ht="14.4" customHeight="1" spans="2:6" x14ac:dyDescent="0.25">
      <c r="B6" s="1">
        <f t="shared" si="0"/>
        <v>2028</v>
      </c>
      <c r="C6" s="3">
        <v>72939400.1331593</v>
      </c>
      <c r="D6" s="3">
        <v>73839400.1331593</v>
      </c>
      <c r="F6" t="s">
        <v>6</v>
      </c>
    </row>
    <row r="7" ht="14.4" customHeight="1" spans="2:6" x14ac:dyDescent="0.25">
      <c r="B7" s="1">
        <f t="shared" si="0"/>
        <v>2029</v>
      </c>
      <c r="C7" s="3">
        <v>74483147.8735519</v>
      </c>
      <c r="D7" s="3">
        <v>75483147.8735519</v>
      </c>
      <c r="F7" t="s">
        <v>7</v>
      </c>
    </row>
    <row r="8" ht="14.4" customHeight="1" spans="2:4" x14ac:dyDescent="0.25">
      <c r="B8" s="1">
        <f t="shared" si="0"/>
        <v>2030</v>
      </c>
      <c r="C8" s="3">
        <v>76045549.3195225</v>
      </c>
      <c r="D8" s="3">
        <v>77045549.3195225</v>
      </c>
    </row>
    <row r="9" ht="14.4" customHeight="1" spans="2:4" x14ac:dyDescent="0.25">
      <c r="B9" s="1">
        <f t="shared" si="0"/>
        <v>2031</v>
      </c>
      <c r="C9" s="3">
        <v>77584100.0617359</v>
      </c>
      <c r="D9" s="3">
        <v>78584100.0617359</v>
      </c>
    </row>
    <row r="10" ht="14.4" customHeight="1" spans="2:4" x14ac:dyDescent="0.25">
      <c r="B10" s="1">
        <f t="shared" si="0"/>
        <v>2032</v>
      </c>
      <c r="C10" s="3">
        <v>79078001.4307763</v>
      </c>
      <c r="D10" s="3">
        <v>80278001.4307763</v>
      </c>
    </row>
    <row r="11" ht="14.4" customHeight="1" spans="2:4" x14ac:dyDescent="0.25">
      <c r="B11" s="1">
        <f t="shared" si="0"/>
        <v>2033</v>
      </c>
      <c r="C11" s="3">
        <v>80517404.8384735</v>
      </c>
      <c r="D11" s="3">
        <v>82017404.8384735</v>
      </c>
    </row>
    <row r="12" ht="14.4" customHeight="1" spans="2:4" x14ac:dyDescent="0.25">
      <c r="B12" s="1">
        <f t="shared" si="0"/>
        <v>2034</v>
      </c>
      <c r="C12" s="3">
        <v>81904630.2507732</v>
      </c>
      <c r="D12" s="3">
        <v>83704630.2507732</v>
      </c>
    </row>
    <row r="13" ht="14.4" customHeight="1" spans="2:4" x14ac:dyDescent="0.25">
      <c r="B13" s="1">
        <f t="shared" si="0"/>
        <v>2035</v>
      </c>
      <c r="C13" s="3">
        <v>83242203.0826524</v>
      </c>
      <c r="D13" s="3">
        <v>85542203.0826524</v>
      </c>
    </row>
    <row r="14" ht="14.4" customHeight="1" spans="2:4" x14ac:dyDescent="0.25">
      <c r="B14" s="1">
        <f t="shared" si="0"/>
        <v>2036</v>
      </c>
      <c r="C14" s="3">
        <v>84528479.8723046</v>
      </c>
      <c r="D14" s="3">
        <v>87328479.8723046</v>
      </c>
    </row>
    <row r="15" ht="14.4" customHeight="1" spans="2:4" x14ac:dyDescent="0.25">
      <c r="B15" s="1">
        <f t="shared" si="0"/>
        <v>2037</v>
      </c>
      <c r="C15" s="3">
        <v>85765943.3481735</v>
      </c>
      <c r="D15" s="3">
        <v>89065943.3481735</v>
      </c>
    </row>
    <row r="16" ht="14.4" customHeight="1" spans="2:4" x14ac:dyDescent="0.25">
      <c r="B16" s="1">
        <f t="shared" si="0"/>
        <v>2038</v>
      </c>
      <c r="C16" s="3">
        <v>86956956.0746462</v>
      </c>
      <c r="D16" s="3">
        <v>91056956.0746462</v>
      </c>
    </row>
    <row r="17" ht="14.4" customHeight="1" spans="2:4" x14ac:dyDescent="0.25">
      <c r="B17" s="1">
        <f t="shared" si="0"/>
        <v>2039</v>
      </c>
      <c r="C17" s="3">
        <v>88103766.2679935</v>
      </c>
      <c r="D17" s="3">
        <v>92903766.2679935</v>
      </c>
    </row>
    <row r="18" ht="14.4" customHeight="1" spans="2:4" x14ac:dyDescent="0.25">
      <c r="B18" s="1">
        <f t="shared" si="0"/>
        <v>2040</v>
      </c>
      <c r="C18" s="3">
        <v>89208513.3308187</v>
      </c>
      <c r="D18" s="3">
        <v>94808513.3308187</v>
      </c>
    </row>
    <row r="19" ht="14.4" customHeight="1" spans="2:4" x14ac:dyDescent="0.25">
      <c r="B19" s="1">
        <f t="shared" si="0"/>
        <v>2041</v>
      </c>
      <c r="C19" s="3">
        <v>90269246.9147585</v>
      </c>
      <c r="D19" s="3">
        <v>96869246.9147585</v>
      </c>
    </row>
    <row r="20" ht="14.4" customHeight="1" spans="2:4" x14ac:dyDescent="0.25">
      <c r="B20" s="1">
        <f t="shared" si="0"/>
        <v>2042</v>
      </c>
      <c r="C20" s="3">
        <v>91288097.272191</v>
      </c>
      <c r="D20" s="3">
        <v>98688097.272191</v>
      </c>
    </row>
    <row r="21" ht="14.4" customHeight="1" spans="2:4" x14ac:dyDescent="0.25">
      <c r="B21" s="1">
        <f t="shared" si="0"/>
        <v>2043</v>
      </c>
      <c r="C21" s="3">
        <v>92267091.5512792</v>
      </c>
      <c r="D21" s="3">
        <v>100667091.551279</v>
      </c>
    </row>
    <row r="22" ht="14.4" customHeight="1" spans="2:4" x14ac:dyDescent="0.25">
      <c r="B22" s="1"/>
      <c r="C22" s="3"/>
      <c r="D22" s="3"/>
    </row>
    <row r="23" ht="14.4" customHeight="1" spans="2:4" x14ac:dyDescent="0.25">
      <c r="B23" s="1"/>
      <c r="C23" s="3"/>
      <c r="D23" s="3"/>
    </row>
    <row r="25" ht="14.4" customHeight="1" spans="3:4" x14ac:dyDescent="0.25">
      <c r="C25" s="4"/>
      <c r="D2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0"/>
  <sheetViews>
    <sheetView workbookViewId="0" zoomScale="100" zoomScaleNormal="100"/>
  </sheetViews>
  <sheetFormatPr defaultRowHeight="11.55" outlineLevelRow="0" outlineLevelCol="0" x14ac:dyDescent="0.3" customHeight="1"/>
  <cols>
    <col min="2" max="2" width="64.88671875" customWidth="1"/>
    <col min="3" max="3" width="24.6640625" customWidth="1"/>
    <col min="4" max="4" width="29.44140625" customWidth="1"/>
    <col min="7" max="7" width="57.88671875" customWidth="1"/>
    <col min="8" max="8" width="11.88671875" customWidth="1"/>
  </cols>
  <sheetData>
    <row r="2" ht="14.4" customHeight="1" spans="2:2" x14ac:dyDescent="0.25">
      <c r="B2" s="5" t="s">
        <v>8</v>
      </c>
    </row>
    <row r="4" ht="14.4" customHeight="1" spans="2:3" x14ac:dyDescent="0.25">
      <c r="B4" s="6" t="s">
        <v>9</v>
      </c>
      <c r="C4" s="6" t="s">
        <v>10</v>
      </c>
    </row>
    <row r="5" ht="14.4" customHeight="1" spans="2:3" x14ac:dyDescent="0.25">
      <c r="B5" s="6" t="s">
        <v>11</v>
      </c>
      <c r="C5" s="7">
        <f>SUM(C13:C18)</f>
        <v>0.35</v>
      </c>
    </row>
    <row r="6" ht="14.4" customHeight="1" spans="2:3" x14ac:dyDescent="0.25">
      <c r="B6" s="6" t="s">
        <v>12</v>
      </c>
      <c r="C6" s="7">
        <f>SUM(C19:C24)</f>
        <v>0.296</v>
      </c>
    </row>
    <row r="7" ht="14.4" customHeight="1" spans="2:3" x14ac:dyDescent="0.25">
      <c r="B7" s="6" t="s">
        <v>13</v>
      </c>
      <c r="C7" s="7">
        <f>SUM(C25:C26)</f>
        <v>0.354</v>
      </c>
    </row>
    <row r="10" ht="14.4" customHeight="1" spans="2:2" x14ac:dyDescent="0.25">
      <c r="B10" s="8" t="s">
        <v>14</v>
      </c>
    </row>
    <row r="11" ht="14.4" customHeight="1" spans="7:7" x14ac:dyDescent="0.25">
      <c r="G11" s="9" t="s">
        <v>15</v>
      </c>
    </row>
    <row r="12" ht="14.4" customHeight="1" spans="2:4" x14ac:dyDescent="0.25">
      <c r="B12" s="10" t="s">
        <v>16</v>
      </c>
      <c r="C12" s="11" t="s">
        <v>17</v>
      </c>
      <c r="D12" s="12" t="s">
        <v>18</v>
      </c>
    </row>
    <row r="13" ht="12" customHeight="1" spans="2:9" x14ac:dyDescent="0.25">
      <c r="B13" s="13" t="s">
        <v>19</v>
      </c>
      <c r="C13" s="14">
        <v>0.104</v>
      </c>
      <c r="D13" s="15">
        <v>0.095</v>
      </c>
      <c r="G13" t="s">
        <v>20</v>
      </c>
      <c r="H13" s="16">
        <v>52020.991983967935</v>
      </c>
      <c r="I13" s="4">
        <f t="shared" ref="I13" si="0">H13/SUM($H$13:$H$26)</f>
        <v>0.01133297909930196</v>
      </c>
    </row>
    <row r="14" ht="12" customHeight="1" spans="2:9" x14ac:dyDescent="0.25">
      <c r="B14" s="17" t="s">
        <v>21</v>
      </c>
      <c r="C14" s="18">
        <v>0.111</v>
      </c>
      <c r="D14" s="19">
        <v>0.115</v>
      </c>
      <c r="G14" t="s">
        <v>22</v>
      </c>
      <c r="H14" s="16">
        <v>184603.98549179515</v>
      </c>
      <c r="I14" s="4">
        <f t="shared" ref="I14:I26" si="1">H14/SUM($H$13:$H$26)</f>
        <v>0.04021670924443566</v>
      </c>
    </row>
    <row r="15" ht="12" customHeight="1" spans="2:9" x14ac:dyDescent="0.25">
      <c r="B15" s="17" t="s">
        <v>23</v>
      </c>
      <c r="C15" s="18">
        <v>0.077</v>
      </c>
      <c r="D15" s="19">
        <v>0.082</v>
      </c>
      <c r="G15" t="s">
        <v>24</v>
      </c>
      <c r="H15" s="16">
        <v>25191.390497401633</v>
      </c>
      <c r="I15" s="4">
        <f t="shared" si="1"/>
        <v>0.005488044174117084</v>
      </c>
    </row>
    <row r="16" ht="12" customHeight="1" spans="2:9" x14ac:dyDescent="0.25">
      <c r="B16" s="20" t="s">
        <v>25</v>
      </c>
      <c r="C16" s="21">
        <v>0.009</v>
      </c>
      <c r="D16" s="22">
        <v>0.009</v>
      </c>
      <c r="G16" t="s">
        <v>26</v>
      </c>
      <c r="H16" s="16">
        <v>2973.8975501113587</v>
      </c>
      <c r="I16" s="4">
        <f t="shared" si="1"/>
        <v>0.0006478753574953763</v>
      </c>
    </row>
    <row r="17" ht="12" customHeight="1" spans="2:9" x14ac:dyDescent="0.25">
      <c r="B17" s="20" t="s">
        <v>27</v>
      </c>
      <c r="C17" s="21">
        <v>0.016</v>
      </c>
      <c r="D17" s="22">
        <v>0.016</v>
      </c>
      <c r="G17" t="s">
        <v>28</v>
      </c>
      <c r="H17" s="16">
        <v>9836.87374749499</v>
      </c>
      <c r="I17" s="4">
        <f t="shared" si="1"/>
        <v>0.002143001898487242</v>
      </c>
    </row>
    <row r="18" ht="14.4" customHeight="1" spans="2:9" x14ac:dyDescent="0.25">
      <c r="B18" s="23" t="s">
        <v>29</v>
      </c>
      <c r="C18" s="24">
        <v>0.033</v>
      </c>
      <c r="D18" s="25">
        <v>0.035</v>
      </c>
      <c r="G18" t="s">
        <v>30</v>
      </c>
      <c r="H18" s="16">
        <v>633852.8607292289</v>
      </c>
      <c r="I18" s="4">
        <f t="shared" si="1"/>
        <v>0.13808735567539607</v>
      </c>
    </row>
    <row r="19" ht="12" customHeight="1" spans="2:9" x14ac:dyDescent="0.25">
      <c r="B19" s="26" t="s">
        <v>31</v>
      </c>
      <c r="C19" s="27">
        <v>0.096</v>
      </c>
      <c r="D19" s="28">
        <v>0.091</v>
      </c>
      <c r="G19" t="s">
        <v>32</v>
      </c>
      <c r="H19" s="16">
        <v>11962.021509296392</v>
      </c>
      <c r="I19" s="4">
        <f t="shared" si="1"/>
        <v>0.0026059737536730486</v>
      </c>
    </row>
    <row r="20" ht="12" customHeight="1" spans="2:9" x14ac:dyDescent="0.25">
      <c r="B20" s="29" t="s">
        <v>33</v>
      </c>
      <c r="C20" s="30">
        <v>0.015</v>
      </c>
      <c r="D20" s="31">
        <v>0.014</v>
      </c>
      <c r="G20" t="s">
        <v>34</v>
      </c>
      <c r="H20" s="16">
        <v>3892.316806416332</v>
      </c>
      <c r="I20" s="4">
        <f t="shared" si="1"/>
        <v>0.0008479566292886637</v>
      </c>
    </row>
    <row r="21" ht="12" customHeight="1" spans="2:9" x14ac:dyDescent="0.25">
      <c r="B21" s="29" t="s">
        <v>35</v>
      </c>
      <c r="C21" s="30">
        <v>0.061</v>
      </c>
      <c r="D21" s="31">
        <v>0.064</v>
      </c>
      <c r="G21" t="s">
        <v>36</v>
      </c>
      <c r="H21" s="16">
        <v>367854.14234905096</v>
      </c>
      <c r="I21" s="4">
        <f t="shared" si="1"/>
        <v>0.08013848155987159</v>
      </c>
    </row>
    <row r="22" ht="12" customHeight="1" spans="2:9" x14ac:dyDescent="0.25">
      <c r="B22" s="29" t="s">
        <v>37</v>
      </c>
      <c r="C22" s="30">
        <v>0.011</v>
      </c>
      <c r="D22" s="31">
        <v>0.012</v>
      </c>
      <c r="G22" t="s">
        <v>38</v>
      </c>
      <c r="H22" s="16">
        <v>6675.824547600314</v>
      </c>
      <c r="I22" s="4">
        <f t="shared" si="1"/>
        <v>0.00145435481299314</v>
      </c>
    </row>
    <row r="23" ht="12" customHeight="1" spans="2:9" x14ac:dyDescent="0.25">
      <c r="B23" s="29" t="s">
        <v>39</v>
      </c>
      <c r="C23" s="30">
        <v>0.077</v>
      </c>
      <c r="D23" s="31">
        <v>0.068</v>
      </c>
      <c r="G23" t="s">
        <v>40</v>
      </c>
      <c r="H23" s="16">
        <v>2276.6577498033043</v>
      </c>
      <c r="I23" s="4">
        <f t="shared" si="1"/>
        <v>0.0004959789060296322</v>
      </c>
    </row>
    <row r="24" ht="14.4" customHeight="1" spans="2:9" x14ac:dyDescent="0.25">
      <c r="B24" s="32" t="s">
        <v>41</v>
      </c>
      <c r="C24" s="33">
        <v>0.036</v>
      </c>
      <c r="D24" s="34">
        <v>0.035</v>
      </c>
      <c r="G24" t="s">
        <v>42</v>
      </c>
      <c r="H24" s="16">
        <v>253346.03703783272</v>
      </c>
      <c r="I24" s="4">
        <f t="shared" si="1"/>
        <v>0.05519243738230881</v>
      </c>
    </row>
    <row r="25" ht="12" customHeight="1" spans="2:9" x14ac:dyDescent="0.25">
      <c r="B25" s="35" t="s">
        <v>43</v>
      </c>
      <c r="C25" s="36">
        <v>0.256</v>
      </c>
      <c r="D25" s="37">
        <v>0.27</v>
      </c>
      <c r="G25" t="s">
        <v>44</v>
      </c>
      <c r="H25" s="16">
        <f>SUM(H31:H33)</f>
        <v>1624067</v>
      </c>
      <c r="I25" s="4">
        <f t="shared" si="1"/>
        <v>0.35380942702012164</v>
      </c>
    </row>
    <row r="26" ht="14.4" customHeight="1" spans="2:9" x14ac:dyDescent="0.25">
      <c r="B26" s="38" t="s">
        <v>45</v>
      </c>
      <c r="C26" s="39">
        <v>0.098</v>
      </c>
      <c r="D26" s="40">
        <f>1-SUM(D13:D25)</f>
        <v>0.09399999999999975</v>
      </c>
      <c r="G26" t="s">
        <v>46</v>
      </c>
      <c r="H26" s="16">
        <f>SUM(H34:H36)</f>
        <v>1411677</v>
      </c>
      <c r="I26" s="4">
        <f t="shared" si="1"/>
        <v>0.3075394244864801</v>
      </c>
    </row>
    <row r="27" ht="14.4" customHeight="1" spans="2:8" x14ac:dyDescent="0.25">
      <c r="B27" s="41" t="s">
        <v>47</v>
      </c>
      <c r="C27" s="42">
        <f>SUM(C13:C26)</f>
        <v>1</v>
      </c>
      <c r="D27" s="43">
        <f>SUM(D13:D26)</f>
        <v>1</v>
      </c>
      <c r="E27" s="44"/>
      <c r="H27" s="16"/>
    </row>
    <row r="28" ht="14.4" customHeight="1" spans="8:8" x14ac:dyDescent="0.25">
      <c r="H28" s="16"/>
    </row>
    <row r="29" ht="14.4" customHeight="1" spans="8:8" x14ac:dyDescent="0.25">
      <c r="H29" s="16"/>
    </row>
    <row r="30" ht="14.4" customHeight="1" spans="8:8" x14ac:dyDescent="0.25">
      <c r="H30" s="16"/>
    </row>
    <row r="31" ht="14.4" customHeight="1" spans="7:8" x14ac:dyDescent="0.25">
      <c r="G31" t="s">
        <v>48</v>
      </c>
      <c r="H31" s="16">
        <v>113118</v>
      </c>
    </row>
    <row r="32" ht="14.4" customHeight="1" spans="7:8" x14ac:dyDescent="0.25">
      <c r="G32" t="s">
        <v>49</v>
      </c>
      <c r="H32" s="16">
        <v>1301493</v>
      </c>
    </row>
    <row r="33" ht="14.4" customHeight="1" spans="7:8" x14ac:dyDescent="0.25">
      <c r="G33" t="s">
        <v>50</v>
      </c>
      <c r="H33" s="16">
        <v>209456</v>
      </c>
    </row>
    <row r="34" ht="14.4" customHeight="1" spans="7:8" x14ac:dyDescent="0.25">
      <c r="G34" t="s">
        <v>51</v>
      </c>
      <c r="H34" s="16">
        <v>79616</v>
      </c>
    </row>
    <row r="35" ht="14.4" customHeight="1" spans="7:8" x14ac:dyDescent="0.25">
      <c r="G35" t="s">
        <v>52</v>
      </c>
      <c r="H35" s="16">
        <v>1046324</v>
      </c>
    </row>
    <row r="36" ht="14.4" customHeight="1" spans="7:8" x14ac:dyDescent="0.25">
      <c r="G36" t="s">
        <v>53</v>
      </c>
      <c r="H36" s="16">
        <v>285737</v>
      </c>
    </row>
    <row r="37" ht="14.4" customHeight="1" spans="7:8" x14ac:dyDescent="0.25">
      <c r="G37" t="s">
        <v>54</v>
      </c>
      <c r="H37" s="16">
        <v>25600.42778390298</v>
      </c>
    </row>
    <row r="38" ht="14.4" customHeight="1" spans="7:8" x14ac:dyDescent="0.25">
      <c r="G38" t="s">
        <v>55</v>
      </c>
      <c r="H38" s="16">
        <v>133075.57221609703</v>
      </c>
    </row>
    <row r="39" ht="14.4" customHeight="1" spans="7:8" x14ac:dyDescent="0.25">
      <c r="G39" t="s">
        <v>56</v>
      </c>
      <c r="H39" s="16">
        <v>40414.10333531864</v>
      </c>
    </row>
    <row r="40" ht="14.4" customHeight="1" spans="7:8" x14ac:dyDescent="0.25">
      <c r="G40" t="s">
        <v>57</v>
      </c>
      <c r="H40" s="16">
        <v>47766.896664681364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9"/>
  <sheetViews>
    <sheetView workbookViewId="0" zoomScale="100" zoomScaleNormal="100">
      <selection activeCell="H13" sqref="H13"/>
    </sheetView>
  </sheetViews>
  <sheetFormatPr defaultRowHeight="11.55" outlineLevelRow="0" outlineLevelCol="0" x14ac:dyDescent="0.3" customHeight="1"/>
  <cols>
    <col min="2" max="2" width="9.109375" customWidth="1"/>
    <col min="3" max="3" width="25" customWidth="1"/>
    <col min="4" max="4" width="20.109375" customWidth="1"/>
    <col min="5" max="5" width="22.5546875" customWidth="1"/>
    <col min="6" max="6" width="16.109375" customWidth="1"/>
    <col min="8" max="8" width="9.5546875" customWidth="1"/>
    <col min="9" max="9" width="23.21875" customWidth="1"/>
  </cols>
  <sheetData>
    <row r="3" ht="46.05" customHeight="1" spans="2:13" x14ac:dyDescent="0.25">
      <c r="B3" s="60" t="s">
        <v>58</v>
      </c>
      <c r="C3" s="60" t="s">
        <v>63</v>
      </c>
      <c r="D3" s="60" t="s">
        <v>64</v>
      </c>
      <c r="E3" s="60" t="s">
        <v>65</v>
      </c>
      <c r="H3" s="60" t="s">
        <v>58</v>
      </c>
      <c r="I3" s="61" t="s">
        <v>66</v>
      </c>
      <c r="J3" s="61" t="s">
        <v>67</v>
      </c>
      <c r="K3" s="61" t="s">
        <v>68</v>
      </c>
      <c r="L3" s="61" t="s">
        <v>69</v>
      </c>
      <c r="M3" s="61" t="s">
        <v>70</v>
      </c>
    </row>
    <row r="4" ht="14.4" customHeight="1" spans="2:13" x14ac:dyDescent="0.25">
      <c r="B4" s="62">
        <v>46204</v>
      </c>
      <c r="C4" s="63">
        <v>0.06</v>
      </c>
      <c r="D4" s="64">
        <v>0.9</v>
      </c>
      <c r="E4" s="63">
        <v>0.04</v>
      </c>
      <c r="H4" s="65">
        <v>46229</v>
      </c>
      <c r="I4" s="66">
        <v>1200</v>
      </c>
      <c r="J4" s="67">
        <v>0.58</v>
      </c>
      <c r="K4" s="67">
        <v>0.78</v>
      </c>
      <c r="L4" s="68">
        <v>6.8</v>
      </c>
      <c r="M4" s="66">
        <v>1200</v>
      </c>
    </row>
    <row r="5" ht="14.4" customHeight="1" spans="2:13" x14ac:dyDescent="0.25">
      <c r="B5" s="62">
        <v>46235</v>
      </c>
      <c r="C5" s="63">
        <v>0.08</v>
      </c>
      <c r="D5" s="64">
        <v>0.88</v>
      </c>
      <c r="E5" s="63">
        <v>0.04</v>
      </c>
      <c r="H5" s="65">
        <v>46260</v>
      </c>
      <c r="I5" s="66">
        <v>1450</v>
      </c>
      <c r="J5" s="67">
        <v>0.55</v>
      </c>
      <c r="K5" s="67">
        <v>0.75</v>
      </c>
      <c r="L5" s="68">
        <v>6.6</v>
      </c>
      <c r="M5" s="68">
        <v>250</v>
      </c>
    </row>
    <row r="6" ht="14.4" customHeight="1" spans="2:13" x14ac:dyDescent="0.25">
      <c r="B6" s="62">
        <v>46266</v>
      </c>
      <c r="C6" s="63">
        <v>0.1</v>
      </c>
      <c r="D6" s="64">
        <v>0.86</v>
      </c>
      <c r="E6" s="63">
        <v>0.04</v>
      </c>
      <c r="H6" s="65">
        <v>46291</v>
      </c>
      <c r="I6" s="66">
        <v>1750</v>
      </c>
      <c r="J6" s="67">
        <v>0.51</v>
      </c>
      <c r="K6" s="67">
        <v>0.72</v>
      </c>
      <c r="L6" s="68">
        <v>6.4</v>
      </c>
      <c r="M6" s="68">
        <v>300</v>
      </c>
    </row>
    <row r="7" ht="14.4" customHeight="1" spans="2:13" x14ac:dyDescent="0.25">
      <c r="B7" s="62">
        <v>46296</v>
      </c>
      <c r="C7" s="63">
        <v>0.12</v>
      </c>
      <c r="D7" s="64">
        <v>0.84</v>
      </c>
      <c r="E7" s="63">
        <v>0.04</v>
      </c>
      <c r="H7" s="65">
        <v>46321</v>
      </c>
      <c r="I7" s="66">
        <v>2100</v>
      </c>
      <c r="J7" s="67">
        <v>0.47</v>
      </c>
      <c r="K7" s="67">
        <v>0.68</v>
      </c>
      <c r="L7" s="68">
        <v>6.2</v>
      </c>
      <c r="M7" s="68">
        <v>350</v>
      </c>
    </row>
    <row r="8" ht="14.4" customHeight="1" spans="2:13" x14ac:dyDescent="0.25">
      <c r="B8" s="62">
        <v>46327</v>
      </c>
      <c r="C8" s="63">
        <v>0.14</v>
      </c>
      <c r="D8" s="64">
        <v>0.82</v>
      </c>
      <c r="E8" s="63">
        <v>0.04</v>
      </c>
      <c r="H8" s="65">
        <v>46352</v>
      </c>
      <c r="I8" s="66">
        <v>2500</v>
      </c>
      <c r="J8" s="67">
        <v>0.43</v>
      </c>
      <c r="K8" s="67">
        <v>0.64</v>
      </c>
      <c r="L8" s="68">
        <v>6</v>
      </c>
      <c r="M8" s="68">
        <v>400</v>
      </c>
    </row>
    <row r="9" ht="14.4" customHeight="1" spans="2:13" x14ac:dyDescent="0.25">
      <c r="B9" s="62">
        <v>46357</v>
      </c>
      <c r="C9" s="63">
        <v>0.16</v>
      </c>
      <c r="D9" s="64">
        <v>0.8</v>
      </c>
      <c r="E9" s="63">
        <v>0.04</v>
      </c>
      <c r="H9" s="65">
        <v>46382</v>
      </c>
      <c r="I9" s="69">
        <v>2950</v>
      </c>
      <c r="J9" s="70">
        <v>0.39</v>
      </c>
      <c r="K9" s="70">
        <v>0.6</v>
      </c>
      <c r="L9" s="61">
        <v>5.8</v>
      </c>
      <c r="M9" s="61">
        <v>450</v>
      </c>
    </row>
    <row r="10" ht="14.4" customHeight="1" spans="2:5" x14ac:dyDescent="0.25">
      <c r="B10" s="62"/>
      <c r="C10" s="71"/>
      <c r="D10" s="71"/>
      <c r="E10" s="71"/>
    </row>
    <row r="13" ht="46.05" customHeight="1" spans="2:9" x14ac:dyDescent="0.25">
      <c r="B13" s="60" t="s">
        <v>58</v>
      </c>
      <c r="C13" s="61" t="s">
        <v>71</v>
      </c>
      <c r="D13" s="61" t="s">
        <v>72</v>
      </c>
      <c r="E13" s="61" t="s">
        <v>73</v>
      </c>
      <c r="F13" s="61" t="s">
        <v>74</v>
      </c>
      <c r="G13" s="61"/>
      <c r="H13" s="72" t="s">
        <v>58</v>
      </c>
      <c r="I13" s="72" t="s">
        <v>74</v>
      </c>
    </row>
    <row r="14" ht="14.4" customHeight="1" spans="2:9" x14ac:dyDescent="0.25">
      <c r="B14" s="73">
        <v>46204</v>
      </c>
      <c r="C14" s="68" t="s">
        <v>75</v>
      </c>
      <c r="D14" s="68" t="s">
        <v>76</v>
      </c>
      <c r="E14" s="66">
        <v>8200</v>
      </c>
      <c r="F14" s="68" t="s">
        <v>77</v>
      </c>
      <c r="G14" s="67"/>
      <c r="H14" s="74">
        <v>46204</v>
      </c>
      <c r="I14" s="75" t="s">
        <v>77</v>
      </c>
    </row>
    <row r="15" ht="14.4" customHeight="1" spans="2:9" x14ac:dyDescent="0.25">
      <c r="B15" s="73">
        <v>46235</v>
      </c>
      <c r="C15" s="68" t="s">
        <v>78</v>
      </c>
      <c r="D15" s="76">
        <v>0.01</v>
      </c>
      <c r="E15" s="66">
        <v>8450</v>
      </c>
      <c r="F15" s="68" t="s">
        <v>79</v>
      </c>
      <c r="G15" s="67"/>
      <c r="H15" s="74">
        <v>46235</v>
      </c>
      <c r="I15" s="75" t="s">
        <v>79</v>
      </c>
    </row>
    <row r="16" ht="14.4" customHeight="1" spans="2:9" x14ac:dyDescent="0.25">
      <c r="B16" s="73">
        <v>46266</v>
      </c>
      <c r="C16" s="68" t="s">
        <v>80</v>
      </c>
      <c r="D16" s="76">
        <v>0.01</v>
      </c>
      <c r="E16" s="66">
        <v>8750</v>
      </c>
      <c r="F16" s="68" t="s">
        <v>81</v>
      </c>
      <c r="G16" s="67"/>
      <c r="H16" s="74">
        <v>46266</v>
      </c>
      <c r="I16" s="75" t="s">
        <v>81</v>
      </c>
    </row>
    <row r="17" ht="14.4" customHeight="1" spans="2:9" x14ac:dyDescent="0.25">
      <c r="B17" s="73">
        <v>46296</v>
      </c>
      <c r="C17" s="68" t="s">
        <v>82</v>
      </c>
      <c r="D17" s="76">
        <v>0.015</v>
      </c>
      <c r="E17" s="66">
        <v>9050</v>
      </c>
      <c r="F17" s="68" t="s">
        <v>83</v>
      </c>
      <c r="G17" s="67"/>
      <c r="H17" s="74">
        <v>46296</v>
      </c>
      <c r="I17" s="75" t="s">
        <v>83</v>
      </c>
    </row>
    <row r="18" ht="14.4" customHeight="1" spans="2:9" x14ac:dyDescent="0.25">
      <c r="B18" s="73">
        <v>46327</v>
      </c>
      <c r="C18" s="68" t="s">
        <v>84</v>
      </c>
      <c r="D18" s="76">
        <v>0.019</v>
      </c>
      <c r="E18" s="66">
        <v>9400</v>
      </c>
      <c r="F18" s="68" t="s">
        <v>85</v>
      </c>
      <c r="G18" s="67"/>
      <c r="H18" s="74">
        <v>46327</v>
      </c>
      <c r="I18" s="75" t="s">
        <v>85</v>
      </c>
    </row>
    <row r="19" ht="14.4" customHeight="1" spans="2:9" x14ac:dyDescent="0.25">
      <c r="B19" s="73">
        <v>46357</v>
      </c>
      <c r="C19" s="61" t="s">
        <v>86</v>
      </c>
      <c r="D19" s="76">
        <v>0.019</v>
      </c>
      <c r="E19" s="69">
        <v>9800</v>
      </c>
      <c r="F19" s="61" t="s">
        <v>87</v>
      </c>
      <c r="G19" s="70"/>
      <c r="H19" s="74">
        <v>46357</v>
      </c>
      <c r="I19" s="72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workbookViewId="0" zoomScale="100" zoomScaleNormal="100">
      <selection activeCell="C9" sqref="C9"/>
    </sheetView>
  </sheetViews>
  <sheetFormatPr defaultRowHeight="11.55" outlineLevelRow="0" outlineLevelCol="0" x14ac:dyDescent="0.3" customHeight="1"/>
  <cols>
    <col min="7" max="7" width="11" customWidth="1"/>
    <col min="8" max="8" width="30" customWidth="1"/>
  </cols>
  <sheetData>
    <row r="3" ht="22.95" customHeight="1" spans="2:8" x14ac:dyDescent="0.25">
      <c r="B3" s="60" t="s">
        <v>288</v>
      </c>
      <c r="C3" s="60" t="s">
        <v>289</v>
      </c>
      <c r="D3" s="60" t="s">
        <v>290</v>
      </c>
      <c r="E3" s="60" t="s">
        <v>291</v>
      </c>
      <c r="F3" s="60" t="s">
        <v>292</v>
      </c>
      <c r="G3" s="60" t="s">
        <v>293</v>
      </c>
      <c r="H3" t="s">
        <v>294</v>
      </c>
    </row>
    <row r="4" ht="22.95" customHeight="1" spans="2:8" x14ac:dyDescent="0.25">
      <c r="B4" s="81" t="s">
        <v>295</v>
      </c>
      <c r="C4" s="82">
        <v>0.0158</v>
      </c>
      <c r="D4" s="82">
        <v>0.017</v>
      </c>
      <c r="E4" s="82">
        <v>0.019</v>
      </c>
      <c r="F4" s="83">
        <v>0.021</v>
      </c>
      <c r="G4" s="81" t="s">
        <v>296</v>
      </c>
      <c r="H4" t="s">
        <v>297</v>
      </c>
    </row>
    <row r="5" ht="22.95" customHeight="1" spans="2:8" x14ac:dyDescent="0.25">
      <c r="B5" s="81" t="s">
        <v>298</v>
      </c>
      <c r="C5" s="82">
        <v>0.806</v>
      </c>
      <c r="D5" s="82">
        <v>0.807</v>
      </c>
      <c r="E5" s="82">
        <v>0.808</v>
      </c>
      <c r="F5" s="83">
        <v>0.81</v>
      </c>
      <c r="G5" s="81" t="s">
        <v>299</v>
      </c>
      <c r="H5" t="s">
        <v>297</v>
      </c>
    </row>
    <row r="6" ht="22.95" customHeight="1" spans="2:8" x14ac:dyDescent="0.25">
      <c r="B6" s="81" t="s">
        <v>300</v>
      </c>
      <c r="C6" s="82">
        <v>0.807</v>
      </c>
      <c r="D6" s="82">
        <v>0.808</v>
      </c>
      <c r="E6" s="82">
        <v>0.811</v>
      </c>
      <c r="F6" s="83">
        <v>0.815</v>
      </c>
      <c r="G6" s="81" t="s">
        <v>296</v>
      </c>
      <c r="H6" t="s">
        <v>297</v>
      </c>
    </row>
    <row r="7" ht="22.95" customHeight="1" spans="2:8" x14ac:dyDescent="0.25">
      <c r="B7" s="81" t="s">
        <v>301</v>
      </c>
      <c r="C7" s="81" t="s">
        <v>302</v>
      </c>
      <c r="D7" s="81">
        <v>8.2</v>
      </c>
      <c r="E7" s="81">
        <v>7.8</v>
      </c>
      <c r="F7" s="84">
        <v>7.3</v>
      </c>
      <c r="G7" s="81" t="s">
        <v>299</v>
      </c>
      <c r="H7" t="s">
        <v>297</v>
      </c>
    </row>
    <row r="8" ht="28.8" customHeight="1" spans="2:8" x14ac:dyDescent="0.25">
      <c r="B8" s="81" t="s">
        <v>303</v>
      </c>
      <c r="C8" s="63">
        <v>0.84</v>
      </c>
      <c r="D8" s="81" t="s">
        <v>76</v>
      </c>
      <c r="E8" s="81" t="s">
        <v>76</v>
      </c>
      <c r="F8" s="63">
        <v>0.83</v>
      </c>
      <c r="G8" s="81" t="s">
        <v>299</v>
      </c>
      <c r="H8" t="s">
        <v>297</v>
      </c>
    </row>
    <row r="9" ht="22.95" customHeight="1" spans="2:7" x14ac:dyDescent="0.25">
      <c r="B9" s="81"/>
      <c r="C9" s="63"/>
      <c r="D9" s="63"/>
      <c r="E9" s="63"/>
      <c r="F9" s="64"/>
      <c r="G9" s="81"/>
    </row>
    <row r="10" ht="22.9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63"/>
  <sheetViews>
    <sheetView workbookViewId="0" zoomScale="100" zoomScaleNormal="100">
      <selection activeCell="E10" sqref="E10"/>
    </sheetView>
  </sheetViews>
  <sheetFormatPr defaultRowHeight="11.55" outlineLevelRow="0" outlineLevelCol="0" x14ac:dyDescent="0.3" customHeight="1"/>
  <cols>
    <col min="2" max="2" width="9.33203125" customWidth="1"/>
    <col min="3" max="3" width="16.5546875" customWidth="1"/>
    <col min="4" max="4" width="9.33203125" customWidth="1"/>
    <col min="5" max="5" width="10" customWidth="1"/>
    <col min="6" max="6" width="8.5546875" customWidth="1"/>
    <col min="7" max="7" width="8" customWidth="1"/>
    <col min="8" max="8" width="6.5546875" customWidth="1"/>
    <col min="9" max="9" width="6.88671875" customWidth="1"/>
    <col min="10" max="10" width="13.44140625" customWidth="1"/>
    <col min="11" max="11" width="22.109375" customWidth="1"/>
    <col min="12" max="12" width="28" customWidth="1"/>
    <col min="14" max="15" width="18" customWidth="1"/>
  </cols>
  <sheetData>
    <row r="3" ht="11.55" customHeight="1" spans="2:15" x14ac:dyDescent="0.25">
      <c r="B3" s="45" t="s">
        <v>58</v>
      </c>
      <c r="C3" s="46" t="s">
        <v>59</v>
      </c>
      <c r="D3" s="47" t="s">
        <v>60</v>
      </c>
      <c r="E3" s="48" t="s">
        <v>61</v>
      </c>
      <c r="F3" s="48" t="s">
        <v>62</v>
      </c>
      <c r="G3" s="49"/>
      <c r="H3" s="49"/>
      <c r="I3" s="49"/>
      <c r="J3" s="50"/>
      <c r="K3" s="51"/>
      <c r="N3" s="52"/>
      <c r="O3" s="52"/>
    </row>
    <row r="4" ht="11.55" customHeight="1" spans="2:15" x14ac:dyDescent="0.25">
      <c r="B4" s="53">
        <v>46204</v>
      </c>
      <c r="C4" s="54">
        <v>0.02</v>
      </c>
      <c r="D4" s="55">
        <v>0.019</v>
      </c>
      <c r="E4" s="56">
        <v>16000</v>
      </c>
      <c r="F4" s="56">
        <v>18240</v>
      </c>
      <c r="G4" s="57"/>
      <c r="H4" s="57"/>
      <c r="I4" s="57"/>
      <c r="J4" s="57"/>
      <c r="K4" s="4"/>
      <c r="L4" s="51"/>
      <c r="M4" s="51"/>
      <c r="N4" s="16"/>
      <c r="O4" s="16"/>
    </row>
    <row r="5" ht="11.55" customHeight="1" spans="2:15" x14ac:dyDescent="0.25">
      <c r="B5" s="53">
        <v>46235</v>
      </c>
      <c r="C5" s="54">
        <v>0.03</v>
      </c>
      <c r="D5" s="55">
        <v>0.036</v>
      </c>
      <c r="E5" s="56">
        <v>32333</v>
      </c>
      <c r="F5" s="56">
        <v>34920</v>
      </c>
      <c r="G5" s="57"/>
      <c r="H5" s="57"/>
      <c r="I5" s="57"/>
      <c r="J5" s="57"/>
      <c r="K5" s="4"/>
      <c r="L5" s="58"/>
      <c r="M5" s="58"/>
      <c r="N5" s="16"/>
      <c r="O5" s="16"/>
    </row>
    <row r="6" ht="11.55" customHeight="1" spans="2:15" x14ac:dyDescent="0.25">
      <c r="B6" s="53">
        <v>46266</v>
      </c>
      <c r="C6" s="54">
        <v>0.05</v>
      </c>
      <c r="D6" s="55">
        <v>0.054</v>
      </c>
      <c r="E6" s="56">
        <v>49000</v>
      </c>
      <c r="F6" s="56">
        <v>52920</v>
      </c>
      <c r="G6" s="57"/>
      <c r="H6" s="57"/>
      <c r="I6" s="57"/>
      <c r="J6" s="57"/>
      <c r="K6" s="4"/>
      <c r="N6" s="16"/>
      <c r="O6" s="16"/>
    </row>
    <row r="7" ht="11.55" customHeight="1" spans="2:15" x14ac:dyDescent="0.25">
      <c r="B7" s="53">
        <v>46296</v>
      </c>
      <c r="C7" s="54">
        <v>0.07</v>
      </c>
      <c r="D7" s="55">
        <v>0.071</v>
      </c>
      <c r="E7" s="56">
        <v>66000</v>
      </c>
      <c r="F7" s="56">
        <v>70290</v>
      </c>
      <c r="G7" s="57"/>
      <c r="H7" s="57"/>
      <c r="I7" s="57"/>
      <c r="J7" s="57"/>
      <c r="K7" s="4"/>
      <c r="N7" s="16"/>
      <c r="O7" s="16"/>
    </row>
    <row r="8" ht="11.55" customHeight="1" spans="2:15" x14ac:dyDescent="0.25">
      <c r="B8" s="53">
        <v>46327</v>
      </c>
      <c r="C8" s="54">
        <v>0.08</v>
      </c>
      <c r="D8" s="55">
        <v>0.088</v>
      </c>
      <c r="E8" s="56">
        <v>83333</v>
      </c>
      <c r="F8" s="56">
        <v>88000</v>
      </c>
      <c r="G8" s="57"/>
      <c r="H8" s="57"/>
      <c r="I8" s="57"/>
      <c r="J8" s="57"/>
      <c r="K8" s="4"/>
      <c r="N8" s="16"/>
      <c r="O8" s="16"/>
    </row>
    <row r="9" ht="11.55" customHeight="1" spans="2:15" x14ac:dyDescent="0.25">
      <c r="B9" s="53">
        <v>46357</v>
      </c>
      <c r="C9" s="54">
        <v>0.1</v>
      </c>
      <c r="D9" s="55">
        <v>0.104</v>
      </c>
      <c r="E9" s="56">
        <v>101000</v>
      </c>
      <c r="F9" s="56">
        <v>105040</v>
      </c>
      <c r="G9" s="57"/>
      <c r="H9" s="57"/>
      <c r="I9" s="57"/>
      <c r="J9" s="57"/>
      <c r="K9" s="4"/>
      <c r="N9" s="16"/>
      <c r="O9" s="16"/>
    </row>
    <row r="10" ht="11.55" customHeight="1" spans="2:10" x14ac:dyDescent="0.25">
      <c r="B10" s="53">
        <v>46388</v>
      </c>
      <c r="C10" s="54">
        <v>0.12</v>
      </c>
      <c r="D10" s="59"/>
      <c r="E10" s="59"/>
      <c r="F10" s="59"/>
      <c r="G10" s="57"/>
      <c r="H10" s="57"/>
      <c r="I10" s="57"/>
      <c r="J10" s="57"/>
    </row>
    <row r="11" ht="11.55" customHeight="1" spans="2:10" x14ac:dyDescent="0.25">
      <c r="B11" s="53">
        <v>46419</v>
      </c>
      <c r="C11" s="54">
        <v>0.13</v>
      </c>
      <c r="D11" s="59"/>
      <c r="E11" s="59"/>
      <c r="F11" s="59"/>
      <c r="G11" s="57"/>
      <c r="H11" s="57"/>
      <c r="I11" s="57"/>
      <c r="J11" s="57"/>
    </row>
    <row r="12" ht="11.55" customHeight="1" spans="2:10" x14ac:dyDescent="0.25">
      <c r="B12" s="53">
        <v>46447</v>
      </c>
      <c r="C12" s="54">
        <v>0.15</v>
      </c>
      <c r="D12" s="59"/>
      <c r="E12" s="59"/>
      <c r="F12" s="59"/>
      <c r="G12" s="57"/>
      <c r="H12" s="57"/>
      <c r="I12" s="57"/>
      <c r="J12" s="57"/>
    </row>
    <row r="13" ht="11.55" customHeight="1" spans="2:10" x14ac:dyDescent="0.25">
      <c r="B13" s="53">
        <v>46478</v>
      </c>
      <c r="C13" s="54">
        <v>0.17</v>
      </c>
      <c r="D13" s="59"/>
      <c r="E13" s="59"/>
      <c r="F13" s="59"/>
      <c r="G13" s="57"/>
      <c r="H13" s="57"/>
      <c r="I13" s="57"/>
      <c r="J13" s="57"/>
    </row>
    <row r="14" ht="11.55" customHeight="1" spans="2:10" x14ac:dyDescent="0.25">
      <c r="B14" s="53">
        <v>46508</v>
      </c>
      <c r="C14" s="54">
        <v>0.18</v>
      </c>
      <c r="D14" s="59"/>
      <c r="E14" s="59"/>
      <c r="F14" s="59"/>
      <c r="G14" s="57"/>
      <c r="H14" s="57"/>
      <c r="I14" s="57"/>
      <c r="J14" s="57"/>
    </row>
    <row r="15" ht="11.55" customHeight="1" spans="2:10" x14ac:dyDescent="0.25">
      <c r="B15" s="53">
        <v>46539</v>
      </c>
      <c r="C15" s="54">
        <v>0.2</v>
      </c>
      <c r="D15" s="59"/>
      <c r="E15" s="59"/>
      <c r="F15" s="59"/>
      <c r="G15" s="57"/>
      <c r="H15" s="57"/>
      <c r="I15" s="57"/>
      <c r="J15" s="57"/>
    </row>
    <row r="16" ht="11.55" customHeight="1" spans="2:10" x14ac:dyDescent="0.25">
      <c r="B16" s="53">
        <v>46569</v>
      </c>
      <c r="C16" s="54">
        <v>0.22</v>
      </c>
      <c r="D16" s="59"/>
      <c r="E16" s="59"/>
      <c r="F16" s="59"/>
      <c r="G16" s="57"/>
      <c r="H16" s="57"/>
      <c r="I16" s="57"/>
      <c r="J16" s="57"/>
    </row>
    <row r="17" ht="11.55" customHeight="1" spans="2:10" x14ac:dyDescent="0.25">
      <c r="B17" s="53">
        <v>46600</v>
      </c>
      <c r="C17" s="54">
        <v>0.23</v>
      </c>
      <c r="D17" s="59"/>
      <c r="E17" s="59"/>
      <c r="F17" s="59"/>
      <c r="G17" s="57"/>
      <c r="H17" s="57"/>
      <c r="I17" s="57"/>
      <c r="J17" s="57"/>
    </row>
    <row r="18" ht="11.55" customHeight="1" spans="2:10" x14ac:dyDescent="0.25">
      <c r="B18" s="53">
        <v>46631</v>
      </c>
      <c r="C18" s="54">
        <v>0.25</v>
      </c>
      <c r="D18" s="59"/>
      <c r="E18" s="59"/>
      <c r="F18" s="59"/>
      <c r="G18" s="57"/>
      <c r="H18" s="57"/>
      <c r="I18" s="57"/>
      <c r="J18" s="57"/>
    </row>
    <row r="19" ht="11.55" customHeight="1" spans="2:10" x14ac:dyDescent="0.25">
      <c r="B19" s="53">
        <v>46661</v>
      </c>
      <c r="C19" s="54">
        <v>0.27</v>
      </c>
      <c r="D19" s="59"/>
      <c r="E19" s="59"/>
      <c r="F19" s="59"/>
      <c r="G19" s="57"/>
      <c r="H19" s="57"/>
      <c r="I19" s="57"/>
      <c r="J19" s="57"/>
    </row>
    <row r="20" ht="11.55" customHeight="1" spans="2:10" x14ac:dyDescent="0.25">
      <c r="B20" s="53">
        <v>46692</v>
      </c>
      <c r="C20" s="54">
        <v>0.28</v>
      </c>
      <c r="D20" s="59"/>
      <c r="E20" s="59"/>
      <c r="F20" s="59"/>
      <c r="G20" s="57"/>
      <c r="H20" s="57"/>
      <c r="I20" s="57"/>
      <c r="J20" s="57"/>
    </row>
    <row r="21" ht="11.55" customHeight="1" spans="2:10" x14ac:dyDescent="0.25">
      <c r="B21" s="53">
        <v>46722</v>
      </c>
      <c r="C21" s="54">
        <v>0.3</v>
      </c>
      <c r="D21" s="59"/>
      <c r="E21" s="59"/>
      <c r="F21" s="59"/>
      <c r="G21" s="57"/>
      <c r="H21" s="57"/>
      <c r="I21" s="57"/>
      <c r="J21" s="57"/>
    </row>
    <row r="22" ht="11.55" customHeight="1" spans="2:10" x14ac:dyDescent="0.25">
      <c r="B22" s="53">
        <v>46753</v>
      </c>
      <c r="C22" s="54">
        <v>0.32</v>
      </c>
      <c r="D22" s="59"/>
      <c r="E22" s="59"/>
      <c r="F22" s="59"/>
      <c r="G22" s="57"/>
      <c r="H22" s="57"/>
      <c r="I22" s="57"/>
      <c r="J22" s="57"/>
    </row>
    <row r="23" ht="11.55" customHeight="1" spans="2:10" x14ac:dyDescent="0.25">
      <c r="B23" s="53">
        <v>46784</v>
      </c>
      <c r="C23" s="54">
        <v>0.33</v>
      </c>
      <c r="D23" s="59"/>
      <c r="E23" s="59"/>
      <c r="F23" s="59"/>
      <c r="G23" s="57"/>
      <c r="H23" s="57"/>
      <c r="I23" s="57"/>
      <c r="J23" s="57"/>
    </row>
    <row r="24" ht="11.55" customHeight="1" spans="2:10" x14ac:dyDescent="0.25">
      <c r="B24" s="53">
        <v>46813</v>
      </c>
      <c r="C24" s="54">
        <v>0.35</v>
      </c>
      <c r="D24" s="59"/>
      <c r="E24" s="59"/>
      <c r="F24" s="59"/>
      <c r="G24" s="57"/>
      <c r="H24" s="57"/>
      <c r="I24" s="57"/>
      <c r="J24" s="57"/>
    </row>
    <row r="25" ht="11.55" customHeight="1" spans="2:10" x14ac:dyDescent="0.25">
      <c r="B25" s="53">
        <v>46844</v>
      </c>
      <c r="C25" s="54">
        <v>0.37</v>
      </c>
      <c r="D25" s="59"/>
      <c r="E25" s="59"/>
      <c r="F25" s="59"/>
      <c r="G25" s="57"/>
      <c r="H25" s="57"/>
      <c r="I25" s="57"/>
      <c r="J25" s="57"/>
    </row>
    <row r="26" ht="11.55" customHeight="1" spans="2:10" x14ac:dyDescent="0.25">
      <c r="B26" s="53">
        <v>46874</v>
      </c>
      <c r="C26" s="54">
        <v>0.38</v>
      </c>
      <c r="D26" s="59"/>
      <c r="E26" s="59"/>
      <c r="F26" s="59"/>
      <c r="G26" s="57"/>
      <c r="H26" s="57"/>
      <c r="I26" s="57"/>
      <c r="J26" s="57"/>
    </row>
    <row r="27" ht="11.55" customHeight="1" spans="2:10" x14ac:dyDescent="0.25">
      <c r="B27" s="53">
        <v>46905</v>
      </c>
      <c r="C27" s="54">
        <v>0.4</v>
      </c>
      <c r="D27" s="59"/>
      <c r="E27" s="59"/>
      <c r="F27" s="59"/>
      <c r="G27" s="57"/>
      <c r="H27" s="57"/>
      <c r="I27" s="57"/>
      <c r="J27" s="57"/>
    </row>
    <row r="28" ht="11.55" customHeight="1" spans="2:10" x14ac:dyDescent="0.25">
      <c r="B28" s="53">
        <v>46935</v>
      </c>
      <c r="C28" s="54">
        <v>0.42</v>
      </c>
      <c r="D28" s="59"/>
      <c r="E28" s="59"/>
      <c r="F28" s="59"/>
      <c r="G28" s="57"/>
      <c r="H28" s="57"/>
      <c r="I28" s="57"/>
      <c r="J28" s="57"/>
    </row>
    <row r="29" ht="11.55" customHeight="1" spans="2:10" x14ac:dyDescent="0.25">
      <c r="B29" s="53">
        <v>46966</v>
      </c>
      <c r="C29" s="54">
        <v>0.43</v>
      </c>
      <c r="D29" s="59"/>
      <c r="E29" s="59"/>
      <c r="F29" s="59"/>
      <c r="G29" s="57"/>
      <c r="H29" s="57"/>
      <c r="I29" s="57"/>
      <c r="J29" s="57"/>
    </row>
    <row r="30" ht="11.55" customHeight="1" spans="2:10" x14ac:dyDescent="0.25">
      <c r="B30" s="53">
        <v>46997</v>
      </c>
      <c r="C30" s="54">
        <v>0.45</v>
      </c>
      <c r="D30" s="59"/>
      <c r="E30" s="59"/>
      <c r="F30" s="59"/>
      <c r="G30" s="57"/>
      <c r="H30" s="57"/>
      <c r="I30" s="57"/>
      <c r="J30" s="57"/>
    </row>
    <row r="31" ht="11.55" customHeight="1" spans="2:10" x14ac:dyDescent="0.25">
      <c r="B31" s="53">
        <v>47027</v>
      </c>
      <c r="C31" s="54">
        <v>0.47</v>
      </c>
      <c r="D31" s="59"/>
      <c r="E31" s="59"/>
      <c r="F31" s="59"/>
      <c r="G31" s="57"/>
      <c r="H31" s="57"/>
      <c r="I31" s="57"/>
      <c r="J31" s="57"/>
    </row>
    <row r="32" ht="11.55" customHeight="1" spans="2:10" x14ac:dyDescent="0.25">
      <c r="B32" s="53">
        <v>47058</v>
      </c>
      <c r="C32" s="54">
        <v>0.48</v>
      </c>
      <c r="D32" s="59"/>
      <c r="E32" s="59"/>
      <c r="F32" s="59"/>
      <c r="G32" s="57"/>
      <c r="H32" s="57"/>
      <c r="I32" s="57"/>
      <c r="J32" s="57"/>
    </row>
    <row r="33" ht="11.55" customHeight="1" spans="2:10" x14ac:dyDescent="0.25">
      <c r="B33" s="53">
        <v>47088</v>
      </c>
      <c r="C33" s="54">
        <v>0.5</v>
      </c>
      <c r="D33" s="59"/>
      <c r="E33" s="59"/>
      <c r="F33" s="59"/>
      <c r="G33" s="57"/>
      <c r="H33" s="57"/>
      <c r="I33" s="57"/>
      <c r="J33" s="57"/>
    </row>
    <row r="34" ht="11.55" customHeight="1" spans="2:10" x14ac:dyDescent="0.25">
      <c r="B34" s="53">
        <v>47119</v>
      </c>
      <c r="C34" s="54">
        <v>0.52</v>
      </c>
      <c r="D34" s="59"/>
      <c r="E34" s="59"/>
      <c r="F34" s="59"/>
      <c r="G34" s="57"/>
      <c r="H34" s="57"/>
      <c r="I34" s="57"/>
      <c r="J34" s="57"/>
    </row>
    <row r="35" ht="11.55" customHeight="1" spans="2:10" x14ac:dyDescent="0.25">
      <c r="B35" s="53">
        <v>47150</v>
      </c>
      <c r="C35" s="54">
        <v>0.53</v>
      </c>
      <c r="D35" s="59"/>
      <c r="E35" s="59"/>
      <c r="F35" s="59"/>
      <c r="G35" s="57"/>
      <c r="H35" s="57"/>
      <c r="I35" s="57"/>
      <c r="J35" s="57"/>
    </row>
    <row r="36" ht="11.55" customHeight="1" spans="2:10" x14ac:dyDescent="0.25">
      <c r="B36" s="53">
        <v>47178</v>
      </c>
      <c r="C36" s="54">
        <v>0.55</v>
      </c>
      <c r="D36" s="59"/>
      <c r="E36" s="59"/>
      <c r="F36" s="59"/>
      <c r="G36" s="57"/>
      <c r="H36" s="57"/>
      <c r="I36" s="57"/>
      <c r="J36" s="57"/>
    </row>
    <row r="37" ht="11.55" customHeight="1" spans="2:10" x14ac:dyDescent="0.25">
      <c r="B37" s="53">
        <v>47209</v>
      </c>
      <c r="C37" s="54">
        <v>0.57</v>
      </c>
      <c r="D37" s="59"/>
      <c r="E37" s="59"/>
      <c r="F37" s="59"/>
      <c r="G37" s="57"/>
      <c r="H37" s="57"/>
      <c r="I37" s="57"/>
      <c r="J37" s="57"/>
    </row>
    <row r="38" ht="11.55" customHeight="1" spans="2:10" x14ac:dyDescent="0.25">
      <c r="B38" s="53">
        <v>47239</v>
      </c>
      <c r="C38" s="54">
        <v>0.58</v>
      </c>
      <c r="D38" s="59"/>
      <c r="E38" s="59"/>
      <c r="F38" s="59"/>
      <c r="G38" s="57"/>
      <c r="H38" s="57"/>
      <c r="I38" s="57"/>
      <c r="J38" s="57"/>
    </row>
    <row r="39" ht="11.55" customHeight="1" spans="2:10" x14ac:dyDescent="0.25">
      <c r="B39" s="53">
        <v>47270</v>
      </c>
      <c r="C39" s="54">
        <v>0.6</v>
      </c>
      <c r="D39" s="59"/>
      <c r="E39" s="59"/>
      <c r="F39" s="59"/>
      <c r="G39" s="57"/>
      <c r="H39" s="57"/>
      <c r="I39" s="57"/>
      <c r="J39" s="57"/>
    </row>
    <row r="40" ht="11.55" customHeight="1" spans="2:10" x14ac:dyDescent="0.25">
      <c r="B40" s="53">
        <v>47300</v>
      </c>
      <c r="C40" s="54">
        <v>0.62</v>
      </c>
      <c r="D40" s="59"/>
      <c r="E40" s="59"/>
      <c r="F40" s="59"/>
      <c r="G40" s="57"/>
      <c r="H40" s="57"/>
      <c r="I40" s="57"/>
      <c r="J40" s="57"/>
    </row>
    <row r="41" ht="11.55" customHeight="1" spans="2:10" x14ac:dyDescent="0.25">
      <c r="B41" s="53">
        <v>47331</v>
      </c>
      <c r="C41" s="54">
        <v>0.63</v>
      </c>
      <c r="D41" s="59"/>
      <c r="E41" s="59"/>
      <c r="F41" s="59"/>
      <c r="G41" s="57"/>
      <c r="H41" s="57"/>
      <c r="I41" s="57"/>
      <c r="J41" s="57"/>
    </row>
    <row r="42" ht="14.4" customHeight="1" spans="2:10" x14ac:dyDescent="0.25">
      <c r="B42" s="53">
        <v>47362</v>
      </c>
      <c r="C42" s="54">
        <v>0.65</v>
      </c>
      <c r="D42" s="59"/>
      <c r="E42" s="59"/>
      <c r="F42" s="59"/>
      <c r="G42" s="57"/>
      <c r="H42" s="57"/>
      <c r="I42" s="57"/>
      <c r="J42" s="57"/>
    </row>
    <row r="43" ht="14.4" customHeight="1" spans="2:10" x14ac:dyDescent="0.25">
      <c r="B43" s="53">
        <v>47392</v>
      </c>
      <c r="C43" s="54">
        <v>0.67</v>
      </c>
      <c r="D43" s="59"/>
      <c r="E43" s="59"/>
      <c r="F43" s="59"/>
      <c r="G43" s="57"/>
      <c r="H43" s="57"/>
      <c r="I43" s="57"/>
      <c r="J43" s="57"/>
    </row>
    <row r="44" ht="14.4" customHeight="1" spans="2:10" x14ac:dyDescent="0.25">
      <c r="B44" s="53">
        <v>47423</v>
      </c>
      <c r="C44" s="54">
        <v>0.68</v>
      </c>
      <c r="D44" s="59"/>
      <c r="E44" s="59"/>
      <c r="F44" s="59"/>
      <c r="G44" s="57"/>
      <c r="H44" s="57"/>
      <c r="I44" s="57"/>
      <c r="J44" s="57"/>
    </row>
    <row r="45" ht="14.4" customHeight="1" spans="2:10" x14ac:dyDescent="0.25">
      <c r="B45" s="53">
        <v>47453</v>
      </c>
      <c r="C45" s="54">
        <v>0.7</v>
      </c>
      <c r="D45" s="59"/>
      <c r="E45" s="59"/>
      <c r="F45" s="59"/>
      <c r="G45" s="57"/>
      <c r="H45" s="57"/>
      <c r="I45" s="57"/>
      <c r="J45" s="57"/>
    </row>
    <row r="46" ht="14.4" customHeight="1" spans="2:10" x14ac:dyDescent="0.25">
      <c r="B46" s="53">
        <v>47484</v>
      </c>
      <c r="C46" s="54">
        <v>0.72</v>
      </c>
      <c r="D46" s="59"/>
      <c r="E46" s="59"/>
      <c r="F46" s="59"/>
      <c r="G46" s="57"/>
      <c r="H46" s="57"/>
      <c r="I46" s="57"/>
      <c r="J46" s="57"/>
    </row>
    <row r="47" ht="14.4" customHeight="1" spans="2:10" x14ac:dyDescent="0.25">
      <c r="B47" s="53">
        <v>47515</v>
      </c>
      <c r="C47" s="54">
        <v>0.73</v>
      </c>
      <c r="D47" s="59"/>
      <c r="E47" s="59"/>
      <c r="F47" s="59"/>
      <c r="G47" s="57"/>
      <c r="H47" s="57"/>
      <c r="I47" s="57"/>
      <c r="J47" s="57"/>
    </row>
    <row r="48" ht="14.4" customHeight="1" spans="2:10" x14ac:dyDescent="0.25">
      <c r="B48" s="53">
        <v>47543</v>
      </c>
      <c r="C48" s="54">
        <v>0.75</v>
      </c>
      <c r="D48" s="59"/>
      <c r="E48" s="59"/>
      <c r="F48" s="59"/>
      <c r="G48" s="57"/>
      <c r="H48" s="57"/>
      <c r="I48" s="57"/>
      <c r="J48" s="57"/>
    </row>
    <row r="49" ht="14.4" customHeight="1" spans="2:10" x14ac:dyDescent="0.25">
      <c r="B49" s="53">
        <v>47574</v>
      </c>
      <c r="C49" s="54">
        <v>0.77</v>
      </c>
      <c r="D49" s="59"/>
      <c r="E49" s="59"/>
      <c r="F49" s="59"/>
      <c r="G49" s="57"/>
      <c r="H49" s="57"/>
      <c r="I49" s="57"/>
      <c r="J49" s="57"/>
    </row>
    <row r="50" ht="14.4" customHeight="1" spans="2:10" x14ac:dyDescent="0.25">
      <c r="B50" s="53">
        <v>47604</v>
      </c>
      <c r="C50" s="54">
        <v>0.78</v>
      </c>
      <c r="D50" s="59"/>
      <c r="E50" s="59"/>
      <c r="F50" s="59"/>
      <c r="G50" s="57"/>
      <c r="H50" s="57"/>
      <c r="I50" s="57"/>
      <c r="J50" s="57"/>
    </row>
    <row r="51" ht="14.4" customHeight="1" spans="2:10" x14ac:dyDescent="0.25">
      <c r="B51" s="53">
        <v>47635</v>
      </c>
      <c r="C51" s="54">
        <v>0.8</v>
      </c>
      <c r="D51" s="59"/>
      <c r="E51" s="59"/>
      <c r="F51" s="59"/>
      <c r="G51" s="57"/>
      <c r="H51" s="57"/>
      <c r="I51" s="57"/>
      <c r="J51" s="57"/>
    </row>
    <row r="52" ht="14.4" customHeight="1" spans="2:10" x14ac:dyDescent="0.25">
      <c r="B52" s="53">
        <v>47665</v>
      </c>
      <c r="C52" s="54">
        <v>0.82</v>
      </c>
      <c r="D52" s="59"/>
      <c r="E52" s="59"/>
      <c r="F52" s="59"/>
      <c r="G52" s="57"/>
      <c r="H52" s="57"/>
      <c r="I52" s="57"/>
      <c r="J52" s="57"/>
    </row>
    <row r="53" ht="14.4" customHeight="1" spans="2:10" x14ac:dyDescent="0.25">
      <c r="B53" s="53">
        <v>47696</v>
      </c>
      <c r="C53" s="54">
        <v>0.83</v>
      </c>
      <c r="D53" s="59"/>
      <c r="E53" s="59"/>
      <c r="F53" s="59"/>
      <c r="G53" s="57"/>
      <c r="H53" s="57"/>
      <c r="I53" s="57"/>
      <c r="J53" s="57"/>
    </row>
    <row r="54" ht="14.4" customHeight="1" spans="2:10" x14ac:dyDescent="0.25">
      <c r="B54" s="53">
        <v>47727</v>
      </c>
      <c r="C54" s="54">
        <v>0.85</v>
      </c>
      <c r="D54" s="59"/>
      <c r="E54" s="59"/>
      <c r="F54" s="59"/>
      <c r="G54" s="57"/>
      <c r="H54" s="57"/>
      <c r="I54" s="57"/>
      <c r="J54" s="57"/>
    </row>
    <row r="55" ht="14.4" customHeight="1" spans="2:10" x14ac:dyDescent="0.25">
      <c r="B55" s="53">
        <v>47757</v>
      </c>
      <c r="C55" s="54">
        <v>0.87</v>
      </c>
      <c r="D55" s="59"/>
      <c r="E55" s="59"/>
      <c r="F55" s="59"/>
      <c r="G55" s="57"/>
      <c r="H55" s="57"/>
      <c r="I55" s="57"/>
      <c r="J55" s="57"/>
    </row>
    <row r="56" ht="14.4" customHeight="1" spans="2:10" x14ac:dyDescent="0.25">
      <c r="B56" s="53">
        <v>47788</v>
      </c>
      <c r="C56" s="54">
        <v>0.88</v>
      </c>
      <c r="D56" s="59"/>
      <c r="E56" s="59"/>
      <c r="F56" s="59"/>
      <c r="G56" s="57"/>
      <c r="H56" s="57"/>
      <c r="I56" s="57"/>
      <c r="J56" s="57"/>
    </row>
    <row r="57" ht="14.4" customHeight="1" spans="2:10" x14ac:dyDescent="0.25">
      <c r="B57" s="53">
        <v>47818</v>
      </c>
      <c r="C57" s="54">
        <v>0.9</v>
      </c>
      <c r="D57" s="59"/>
      <c r="E57" s="59"/>
      <c r="F57" s="59"/>
      <c r="G57" s="57"/>
      <c r="H57" s="57"/>
      <c r="I57" s="57"/>
      <c r="J57" s="57"/>
    </row>
    <row r="58" ht="14.4" customHeight="1" spans="2:10" x14ac:dyDescent="0.25">
      <c r="B58" s="53">
        <v>47849</v>
      </c>
      <c r="C58" s="54">
        <v>0.92</v>
      </c>
      <c r="D58" s="59"/>
      <c r="E58" s="59"/>
      <c r="F58" s="59"/>
      <c r="G58" s="57"/>
      <c r="H58" s="57"/>
      <c r="I58" s="57"/>
      <c r="J58" s="57"/>
    </row>
    <row r="59" ht="14.4" customHeight="1" spans="2:10" x14ac:dyDescent="0.25">
      <c r="B59" s="53">
        <v>47880</v>
      </c>
      <c r="C59" s="54">
        <v>0.93</v>
      </c>
      <c r="D59" s="59"/>
      <c r="E59" s="59"/>
      <c r="F59" s="59"/>
      <c r="G59" s="57"/>
      <c r="H59" s="57"/>
      <c r="I59" s="57"/>
      <c r="J59" s="57"/>
    </row>
    <row r="60" ht="14.4" customHeight="1" spans="2:10" x14ac:dyDescent="0.25">
      <c r="B60" s="53">
        <v>47908</v>
      </c>
      <c r="C60" s="54">
        <v>0.95</v>
      </c>
      <c r="D60" s="59"/>
      <c r="E60" s="59"/>
      <c r="F60" s="59"/>
      <c r="G60" s="57"/>
      <c r="H60" s="57"/>
      <c r="I60" s="57"/>
      <c r="J60" s="57"/>
    </row>
    <row r="61" ht="14.4" customHeight="1" spans="2:10" x14ac:dyDescent="0.25">
      <c r="B61" s="53">
        <v>47939</v>
      </c>
      <c r="C61" s="54">
        <v>0.97</v>
      </c>
      <c r="D61" s="59"/>
      <c r="E61" s="59"/>
      <c r="F61" s="59"/>
      <c r="G61" s="57"/>
      <c r="H61" s="57"/>
      <c r="I61" s="57"/>
      <c r="J61" s="57"/>
    </row>
    <row r="62" ht="14.4" customHeight="1" spans="2:10" x14ac:dyDescent="0.25">
      <c r="B62" s="53">
        <v>47969</v>
      </c>
      <c r="C62" s="54">
        <v>0.98</v>
      </c>
      <c r="D62" s="59"/>
      <c r="E62" s="59"/>
      <c r="F62" s="59"/>
      <c r="G62" s="57"/>
      <c r="H62" s="57"/>
      <c r="I62" s="57"/>
      <c r="J62" s="57"/>
    </row>
    <row r="63" ht="14.4" customHeight="1" spans="2:10" x14ac:dyDescent="0.25">
      <c r="B63" s="53">
        <v>48000</v>
      </c>
      <c r="C63" s="54">
        <v>1</v>
      </c>
      <c r="D63" s="59"/>
      <c r="E63" s="59"/>
      <c r="F63" s="59"/>
      <c r="G63" s="57"/>
      <c r="H63" s="57"/>
      <c r="I63" s="57"/>
      <c r="J63" s="5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H193"/>
  <sheetViews>
    <sheetView workbookViewId="0" zoomScale="100" zoomScaleNormal="100">
      <selection activeCell="D4" sqref="D4"/>
    </sheetView>
  </sheetViews>
  <sheetFormatPr defaultRowHeight="11.55" outlineLevelRow="0" outlineLevelCol="0" x14ac:dyDescent="0.3" customHeight="1"/>
  <cols>
    <col min="2" max="2" width="9.109375" customWidth="1"/>
    <col min="3" max="4" width="9.44140625" customWidth="1"/>
    <col min="5" max="7" width="8.88671875" customWidth="1"/>
    <col min="8" max="10" width="9.109375" customWidth="1"/>
    <col min="11" max="19" width="8.88671875" customWidth="1"/>
    <col min="20" max="22" width="9.109375" customWidth="1"/>
    <col min="23" max="31" width="8.88671875" customWidth="1"/>
    <col min="32" max="34" width="9.109375" customWidth="1"/>
    <col min="35" max="43" width="8.88671875" customWidth="1"/>
    <col min="44" max="46" width="9.109375" customWidth="1"/>
    <col min="47" max="55" width="8.88671875" customWidth="1"/>
    <col min="56" max="58" width="9.109375" customWidth="1"/>
    <col min="59" max="67" width="8.88671875" customWidth="1"/>
    <col min="68" max="70" width="9.109375" customWidth="1"/>
    <col min="71" max="79" width="8.88671875" customWidth="1"/>
    <col min="80" max="82" width="9.109375" customWidth="1"/>
    <col min="83" max="91" width="8.88671875" customWidth="1"/>
    <col min="92" max="94" width="9.109375" customWidth="1"/>
    <col min="95" max="103" width="8.88671875" customWidth="1"/>
    <col min="104" max="106" width="9.109375" customWidth="1"/>
    <col min="107" max="115" width="8.88671875" customWidth="1"/>
    <col min="116" max="118" width="9.109375" customWidth="1"/>
    <col min="119" max="127" width="8.88671875" customWidth="1"/>
    <col min="128" max="130" width="9.109375" customWidth="1"/>
    <col min="131" max="139" width="8.88671875" customWidth="1"/>
    <col min="140" max="142" width="9.109375" customWidth="1"/>
    <col min="143" max="151" width="8.88671875" customWidth="1"/>
    <col min="152" max="154" width="9.109375" customWidth="1"/>
    <col min="155" max="163" width="8.88671875" customWidth="1"/>
    <col min="164" max="166" width="9.109375" customWidth="1"/>
    <col min="167" max="175" width="8.88671875" customWidth="1"/>
    <col min="176" max="178" width="9.109375" customWidth="1"/>
    <col min="179" max="187" width="8.88671875" customWidth="1"/>
    <col min="188" max="190" width="9.109375" customWidth="1"/>
  </cols>
  <sheetData>
    <row r="1" ht="11.55" customHeight="1" spans="2:7" x14ac:dyDescent="0.25">
      <c r="B1" s="77" t="s">
        <v>88</v>
      </c>
      <c r="G1" s="77" t="s">
        <v>89</v>
      </c>
    </row>
    <row r="3" ht="11.55" customHeight="1" spans="2:190" x14ac:dyDescent="0.25">
      <c r="B3" t="s">
        <v>58</v>
      </c>
      <c r="C3" t="s">
        <v>90</v>
      </c>
      <c r="D3" t="s">
        <v>91</v>
      </c>
      <c r="E3" s="73"/>
      <c r="F3" s="73"/>
      <c r="G3" t="s">
        <v>58</v>
      </c>
      <c r="H3" t="s">
        <v>92</v>
      </c>
      <c r="I3" s="73" t="s">
        <v>93</v>
      </c>
      <c r="J3" s="78" t="s">
        <v>94</v>
      </c>
      <c r="K3" s="78" t="s">
        <v>95</v>
      </c>
      <c r="L3" s="78" t="s">
        <v>96</v>
      </c>
      <c r="M3" s="78" t="s">
        <v>97</v>
      </c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  <c r="CN3" s="73"/>
      <c r="CO3" s="73"/>
      <c r="CP3" s="73"/>
      <c r="CQ3" s="73"/>
      <c r="CR3" s="73"/>
      <c r="CS3" s="73"/>
      <c r="CT3" s="73"/>
      <c r="CU3" s="73"/>
      <c r="CV3" s="73"/>
      <c r="CW3" s="73"/>
      <c r="CX3" s="73"/>
      <c r="CY3" s="73"/>
      <c r="CZ3" s="73"/>
      <c r="DA3" s="73"/>
      <c r="DB3" s="73"/>
      <c r="DC3" s="73"/>
      <c r="DD3" s="73"/>
      <c r="DE3" s="73"/>
      <c r="DF3" s="73"/>
      <c r="DG3" s="73"/>
      <c r="DH3" s="73"/>
      <c r="DI3" s="73"/>
      <c r="DJ3" s="73"/>
      <c r="DK3" s="73"/>
      <c r="DL3" s="73"/>
      <c r="DM3" s="73"/>
      <c r="DN3" s="73"/>
      <c r="DO3" s="73"/>
      <c r="DP3" s="73"/>
      <c r="DQ3" s="73"/>
      <c r="DR3" s="73"/>
      <c r="DS3" s="73"/>
      <c r="DT3" s="73"/>
      <c r="DU3" s="73"/>
      <c r="DV3" s="73"/>
      <c r="DW3" s="73"/>
      <c r="DX3" s="73"/>
      <c r="DY3" s="73"/>
      <c r="DZ3" s="73"/>
      <c r="EA3" s="73"/>
      <c r="EB3" s="73"/>
      <c r="EC3" s="73"/>
      <c r="ED3" s="73"/>
      <c r="EE3" s="73"/>
      <c r="EF3" s="73"/>
      <c r="EG3" s="73"/>
      <c r="EH3" s="73"/>
      <c r="EI3" s="73"/>
      <c r="EJ3" s="73"/>
      <c r="EK3" s="73"/>
      <c r="EL3" s="73"/>
      <c r="EM3" s="73"/>
      <c r="EN3" s="73"/>
      <c r="EO3" s="73"/>
      <c r="EP3" s="73"/>
      <c r="EQ3" s="73"/>
      <c r="ER3" s="73"/>
      <c r="ES3" s="73"/>
      <c r="ET3" s="73"/>
      <c r="EU3" s="73"/>
      <c r="EV3" s="73"/>
      <c r="EW3" s="73"/>
      <c r="EX3" s="73"/>
      <c r="EY3" s="73"/>
      <c r="EZ3" s="73"/>
      <c r="FA3" s="73"/>
      <c r="FB3" s="73"/>
      <c r="FC3" s="73"/>
      <c r="FD3" s="73"/>
      <c r="FE3" s="73"/>
      <c r="FF3" s="73"/>
      <c r="FG3" s="73"/>
      <c r="FH3" s="73"/>
      <c r="FI3" s="73"/>
      <c r="FJ3" s="73"/>
      <c r="FK3" s="73"/>
      <c r="FL3" s="73"/>
      <c r="FM3" s="73"/>
      <c r="FN3" s="73"/>
      <c r="FO3" s="73"/>
      <c r="FP3" s="73"/>
      <c r="FQ3" s="73"/>
      <c r="FR3" s="73"/>
      <c r="FS3" s="73"/>
      <c r="FT3" s="73"/>
      <c r="FU3" s="73"/>
      <c r="FV3" s="73"/>
      <c r="FW3" s="73"/>
      <c r="FX3" s="73"/>
      <c r="FY3" s="73"/>
      <c r="FZ3" s="73"/>
      <c r="GA3" s="73"/>
      <c r="GB3" s="73"/>
      <c r="GC3" s="73"/>
      <c r="GD3" s="73"/>
      <c r="GE3" s="73"/>
      <c r="GF3" s="73"/>
      <c r="GG3" s="73"/>
      <c r="GH3" s="73"/>
    </row>
    <row r="4" ht="11.55" customHeight="1" spans="2:13" x14ac:dyDescent="0.25">
      <c r="B4" s="73">
        <v>46204</v>
      </c>
      <c r="C4" s="79">
        <v>539.5384119090506</v>
      </c>
      <c r="D4" s="79" t="e">
        <f>C4*('Product Uptake'!$M$5/'Product Uptake'!$L$5)</f>
        <v>#DIV/0!</v>
      </c>
      <c r="G4" s="2" t="s">
        <v>98</v>
      </c>
      <c r="H4" s="57">
        <v>1</v>
      </c>
      <c r="I4" s="71">
        <v>1</v>
      </c>
      <c r="J4" s="80">
        <v>1</v>
      </c>
      <c r="K4" s="80">
        <v>1</v>
      </c>
      <c r="L4" s="80">
        <v>1</v>
      </c>
      <c r="M4" s="80">
        <v>1</v>
      </c>
    </row>
    <row r="5" ht="11.55" customHeight="1" spans="2:13" x14ac:dyDescent="0.25">
      <c r="B5" s="73">
        <v>46235</v>
      </c>
      <c r="C5" s="79">
        <v>5259.322577313609</v>
      </c>
      <c r="D5" s="79" t="e">
        <f>C5*('Product Uptake'!$M$5/'Product Uptake'!$L$5)</f>
        <v>#DIV/0!</v>
      </c>
      <c r="G5" s="2" t="s">
        <v>99</v>
      </c>
      <c r="H5" s="57">
        <v>0.901351518911394</v>
      </c>
      <c r="I5" s="71">
        <v>0.92</v>
      </c>
      <c r="J5" s="80">
        <v>0.92</v>
      </c>
      <c r="K5" s="80">
        <v>0.89</v>
      </c>
      <c r="L5" s="80">
        <v>0.6</v>
      </c>
      <c r="M5" s="80">
        <v>0.56</v>
      </c>
    </row>
    <row r="6" ht="11.55" customHeight="1" spans="2:13" x14ac:dyDescent="0.25">
      <c r="B6" s="73">
        <v>46266</v>
      </c>
      <c r="C6" s="79">
        <v>11943.405282109834</v>
      </c>
      <c r="D6" s="79" t="e">
        <f>C6*('Product Uptake'!$M$5/'Product Uptake'!$L$5)</f>
        <v>#DIV/0!</v>
      </c>
      <c r="G6" s="2" t="s">
        <v>100</v>
      </c>
      <c r="H6" s="57">
        <v>0.8188694670127475</v>
      </c>
      <c r="I6" s="71">
        <v>0.83</v>
      </c>
      <c r="J6" s="80">
        <v>0.84</v>
      </c>
      <c r="K6" s="80">
        <v>0.79</v>
      </c>
      <c r="L6" s="80">
        <v>0.52</v>
      </c>
      <c r="M6" s="80">
        <v>0.49</v>
      </c>
    </row>
    <row r="7" ht="11.55" customHeight="1" spans="2:13" x14ac:dyDescent="0.25">
      <c r="B7" s="73">
        <v>46296</v>
      </c>
      <c r="C7" s="79">
        <v>12288.269203503996</v>
      </c>
      <c r="D7" s="79" t="e">
        <f>C7*('Product Uptake'!$M$5/'Product Uptake'!$L$5)</f>
        <v>#DIV/0!</v>
      </c>
      <c r="G7" s="2" t="s">
        <v>101</v>
      </c>
      <c r="H7" s="57">
        <v>0.7302873968132739</v>
      </c>
      <c r="I7" s="71">
        <v>0.77</v>
      </c>
      <c r="J7" s="80">
        <v>0.74</v>
      </c>
      <c r="K7" s="80">
        <v>0.69</v>
      </c>
      <c r="L7" s="80">
        <v>0.45</v>
      </c>
      <c r="M7" s="80">
        <v>0.43</v>
      </c>
    </row>
    <row r="8" ht="11.55" customHeight="1" spans="2:13" x14ac:dyDescent="0.25">
      <c r="B8" s="73">
        <v>46327</v>
      </c>
      <c r="C8" s="79">
        <v>14530.162617236987</v>
      </c>
      <c r="D8" s="79" t="e">
        <f>C8*('Product Uptake'!$M$5/'Product Uptake'!$L$5)</f>
        <v>#DIV/0!</v>
      </c>
      <c r="G8" s="2" t="s">
        <v>102</v>
      </c>
      <c r="H8" s="57">
        <v>0.6509164769434985</v>
      </c>
      <c r="I8" s="71">
        <v>0.7</v>
      </c>
      <c r="J8" s="80">
        <v>0.65</v>
      </c>
      <c r="K8" s="80">
        <v>0.59</v>
      </c>
      <c r="L8" s="80">
        <v>0.4</v>
      </c>
      <c r="M8" s="80">
        <v>0.38</v>
      </c>
    </row>
    <row r="9" ht="11.55" customHeight="1" spans="2:13" x14ac:dyDescent="0.25">
      <c r="B9" s="73">
        <v>46357</v>
      </c>
      <c r="C9" s="79">
        <v>15557.437348143692</v>
      </c>
      <c r="D9" s="79" t="e">
        <f>C9*('Product Uptake'!$M$5/'Product Uptake'!$L$5)</f>
        <v>#DIV/0!</v>
      </c>
      <c r="G9" s="2" t="s">
        <v>103</v>
      </c>
      <c r="H9" s="57">
        <v>0.5824549749858094</v>
      </c>
      <c r="I9" s="71">
        <v>0.65</v>
      </c>
      <c r="J9" s="80">
        <v>0.57</v>
      </c>
      <c r="K9" s="80">
        <v>0.52</v>
      </c>
      <c r="L9" s="80">
        <v>0.37</v>
      </c>
      <c r="M9" s="80">
        <v>0.35</v>
      </c>
    </row>
    <row r="10" ht="11.55" customHeight="1" spans="2:8" x14ac:dyDescent="0.25">
      <c r="B10" s="73">
        <v>46388</v>
      </c>
      <c r="C10" s="79">
        <v>17982.960788772907</v>
      </c>
      <c r="G10" s="2" t="s">
        <v>104</v>
      </c>
      <c r="H10" s="57">
        <v>0.557878163361794</v>
      </c>
    </row>
    <row r="11" ht="11.55" customHeight="1" spans="2:8" x14ac:dyDescent="0.25">
      <c r="B11" s="73">
        <v>46419</v>
      </c>
      <c r="C11" s="79">
        <v>21680.969498555165</v>
      </c>
      <c r="G11" s="2" t="s">
        <v>105</v>
      </c>
      <c r="H11" s="57">
        <v>0.5367591461398546</v>
      </c>
    </row>
    <row r="12" ht="11.55" customHeight="1" spans="2:8" x14ac:dyDescent="0.25">
      <c r="B12" s="73">
        <v>46447</v>
      </c>
      <c r="C12" s="79">
        <v>22262.124739157378</v>
      </c>
      <c r="G12" s="2" t="s">
        <v>106</v>
      </c>
      <c r="H12" s="57">
        <v>0.5164894592233565</v>
      </c>
    </row>
    <row r="13" ht="11.55" customHeight="1" spans="2:8" x14ac:dyDescent="0.25">
      <c r="B13" s="73">
        <v>46478</v>
      </c>
      <c r="C13" s="79">
        <v>24010.098480228906</v>
      </c>
      <c r="G13" s="2" t="s">
        <v>107</v>
      </c>
      <c r="H13" s="57">
        <v>0.4983590995890034</v>
      </c>
    </row>
    <row r="14" ht="11.55" customHeight="1" spans="2:8" x14ac:dyDescent="0.25">
      <c r="B14" s="73">
        <v>46508</v>
      </c>
      <c r="C14" s="79">
        <v>24577.43744758986</v>
      </c>
      <c r="G14" s="2" t="s">
        <v>108</v>
      </c>
      <c r="H14" s="57">
        <v>0.48131960314016</v>
      </c>
    </row>
    <row r="15" ht="11.55" customHeight="1" spans="2:8" x14ac:dyDescent="0.25">
      <c r="B15" s="73">
        <v>46539</v>
      </c>
      <c r="C15" s="79">
        <v>25250.57493014599</v>
      </c>
      <c r="G15" s="2" t="s">
        <v>109</v>
      </c>
      <c r="H15" s="57">
        <v>0.46640327524352176</v>
      </c>
    </row>
    <row r="16" ht="11.55" customHeight="1" spans="2:8" x14ac:dyDescent="0.25">
      <c r="B16" s="73">
        <v>46569</v>
      </c>
      <c r="C16" s="79">
        <v>25981.313510541717</v>
      </c>
      <c r="G16" s="2" t="s">
        <v>110</v>
      </c>
      <c r="H16" s="57">
        <v>0.45375317406651494</v>
      </c>
    </row>
    <row r="17" ht="11.55" customHeight="1" spans="2:8" x14ac:dyDescent="0.25">
      <c r="B17" s="73">
        <v>46600</v>
      </c>
      <c r="C17" s="79">
        <v>26590.062958108236</v>
      </c>
      <c r="G17" s="2" t="s">
        <v>111</v>
      </c>
      <c r="H17" s="57">
        <v>0.44178850750555915</v>
      </c>
    </row>
    <row r="18" ht="11.55" customHeight="1" spans="2:8" x14ac:dyDescent="0.25">
      <c r="B18" s="73">
        <v>46631</v>
      </c>
      <c r="C18" s="79">
        <v>27149.503654956992</v>
      </c>
      <c r="G18" s="2" t="s">
        <v>112</v>
      </c>
      <c r="H18" s="57">
        <v>0.4302469671706629</v>
      </c>
    </row>
    <row r="19" ht="11.55" customHeight="1" spans="2:8" x14ac:dyDescent="0.25">
      <c r="B19" s="73">
        <v>46661</v>
      </c>
      <c r="C19" s="79">
        <v>27723.50591838969</v>
      </c>
      <c r="G19" s="2" t="s">
        <v>113</v>
      </c>
      <c r="H19" s="57">
        <v>0.419644705745174</v>
      </c>
    </row>
    <row r="20" ht="11.55" customHeight="1" spans="2:8" x14ac:dyDescent="0.25">
      <c r="B20" s="73">
        <v>46692</v>
      </c>
      <c r="C20" s="79">
        <v>28278.54261980982</v>
      </c>
      <c r="G20" s="2" t="s">
        <v>114</v>
      </c>
      <c r="H20" s="57">
        <v>0.4086786453757704</v>
      </c>
    </row>
    <row r="21" ht="11.55" customHeight="1" spans="2:8" x14ac:dyDescent="0.25">
      <c r="B21" s="73">
        <v>46722</v>
      </c>
      <c r="C21" s="79">
        <v>28948.388153367734</v>
      </c>
      <c r="G21" s="2" t="s">
        <v>115</v>
      </c>
      <c r="H21" s="57">
        <v>0.3983849387457999</v>
      </c>
    </row>
    <row r="22" ht="11.55" customHeight="1" spans="2:8" x14ac:dyDescent="0.25">
      <c r="B22" s="73">
        <v>46753</v>
      </c>
      <c r="C22" s="79">
        <v>29542.7321240539</v>
      </c>
      <c r="G22" s="2" t="s">
        <v>116</v>
      </c>
      <c r="H22" s="57">
        <v>0.390417774804375</v>
      </c>
    </row>
    <row r="23" ht="11.55" customHeight="1" spans="2:8" x14ac:dyDescent="0.25">
      <c r="B23" s="73">
        <v>46784</v>
      </c>
      <c r="C23" s="79">
        <v>30063.291329528372</v>
      </c>
      <c r="G23" s="2" t="s">
        <v>117</v>
      </c>
      <c r="H23" s="57">
        <v>0.3832313803262805</v>
      </c>
    </row>
    <row r="24" ht="11.55" customHeight="1" spans="2:8" x14ac:dyDescent="0.25">
      <c r="B24" s="73">
        <v>46813</v>
      </c>
      <c r="C24" s="79">
        <v>30587.474062057372</v>
      </c>
      <c r="G24" s="2" t="s">
        <v>118</v>
      </c>
      <c r="H24" s="57">
        <v>0.3757842163848556</v>
      </c>
    </row>
    <row r="25" ht="11.55" customHeight="1" spans="2:8" x14ac:dyDescent="0.25">
      <c r="B25" s="73">
        <v>46844</v>
      </c>
      <c r="C25" s="79">
        <v>31081.90939352426</v>
      </c>
      <c r="G25" s="2" t="s">
        <v>119</v>
      </c>
      <c r="H25" s="57">
        <v>0.37058903579461955</v>
      </c>
    </row>
    <row r="26" ht="11.55" customHeight="1" spans="2:8" x14ac:dyDescent="0.25">
      <c r="B26" s="73">
        <v>46874</v>
      </c>
      <c r="C26" s="79">
        <v>31650.37938929695</v>
      </c>
      <c r="G26" s="2" t="s">
        <v>120</v>
      </c>
      <c r="H26" s="57">
        <v>0.3636618718531946</v>
      </c>
    </row>
    <row r="27" ht="11.55" customHeight="1" spans="2:8" x14ac:dyDescent="0.25">
      <c r="B27" s="73">
        <v>46905</v>
      </c>
      <c r="C27" s="79">
        <v>32300.717743710742</v>
      </c>
      <c r="G27" s="2" t="s">
        <v>121</v>
      </c>
      <c r="H27" s="57">
        <v>0.35846669126295855</v>
      </c>
    </row>
    <row r="28" ht="11.55" customHeight="1" spans="2:8" x14ac:dyDescent="0.25">
      <c r="B28" s="73">
        <v>46935</v>
      </c>
      <c r="C28" s="79">
        <v>33008.55488362522</v>
      </c>
      <c r="G28" s="2" t="s">
        <v>122</v>
      </c>
      <c r="H28" s="57">
        <v>0.35327151067272244</v>
      </c>
    </row>
    <row r="29" ht="11.55" customHeight="1" spans="2:8" x14ac:dyDescent="0.25">
      <c r="B29" s="73">
        <v>46966</v>
      </c>
      <c r="C29" s="79">
        <v>33512.319467426336</v>
      </c>
      <c r="G29" s="2" t="s">
        <v>123</v>
      </c>
      <c r="H29" s="57">
        <v>0.3480763300824864</v>
      </c>
    </row>
    <row r="30" ht="11.55" customHeight="1" spans="2:8" x14ac:dyDescent="0.25">
      <c r="B30" s="73">
        <v>46997</v>
      </c>
      <c r="C30" s="79">
        <v>34098.10152128227</v>
      </c>
      <c r="G30" s="2" t="s">
        <v>124</v>
      </c>
      <c r="H30" s="57">
        <v>0.3428811494922503</v>
      </c>
    </row>
    <row r="31" ht="11.55" customHeight="1" spans="2:8" x14ac:dyDescent="0.25">
      <c r="B31" s="73">
        <v>47027</v>
      </c>
      <c r="C31" s="79">
        <v>34607.118970474345</v>
      </c>
      <c r="G31" s="2" t="s">
        <v>125</v>
      </c>
      <c r="H31" s="57">
        <v>0.33768596890201424</v>
      </c>
    </row>
    <row r="32" ht="11.55" customHeight="1" spans="2:8" x14ac:dyDescent="0.25">
      <c r="B32" s="73">
        <v>47058</v>
      </c>
      <c r="C32" s="79">
        <v>35195.935314008966</v>
      </c>
      <c r="G32" s="2" t="s">
        <v>126</v>
      </c>
      <c r="H32" s="57">
        <v>0.33422277166296704</v>
      </c>
    </row>
    <row r="33" ht="11.55" customHeight="1" spans="2:8" x14ac:dyDescent="0.25">
      <c r="B33" s="73">
        <v>47088</v>
      </c>
      <c r="C33" s="79">
        <v>35771.833111260006</v>
      </c>
      <c r="G33" s="2" t="s">
        <v>127</v>
      </c>
      <c r="H33" s="57">
        <v>0.32902759107273094</v>
      </c>
    </row>
    <row r="34" ht="11.55" customHeight="1" spans="2:8" x14ac:dyDescent="0.25">
      <c r="B34" s="73">
        <v>47119</v>
      </c>
      <c r="C34" s="79">
        <v>36310.991018905865</v>
      </c>
      <c r="G34" s="2" t="s">
        <v>128</v>
      </c>
      <c r="H34" s="57">
        <v>0.3255643938336837</v>
      </c>
    </row>
    <row r="35" ht="11.55" customHeight="1" spans="2:8" x14ac:dyDescent="0.25">
      <c r="B35" s="73">
        <v>47150</v>
      </c>
      <c r="C35" s="79">
        <v>36873.35095607688</v>
      </c>
      <c r="G35" s="2" t="s">
        <v>129</v>
      </c>
      <c r="H35" s="57">
        <v>0.322100427131306</v>
      </c>
    </row>
    <row r="36" ht="11.55" customHeight="1" spans="2:8" x14ac:dyDescent="0.25">
      <c r="B36" s="73">
        <v>47178</v>
      </c>
      <c r="C36" s="79">
        <v>37307.01455063151</v>
      </c>
      <c r="G36" s="2" t="s">
        <v>130</v>
      </c>
      <c r="H36" s="57">
        <v>0.3186372298922588</v>
      </c>
    </row>
    <row r="37" ht="11.55" customHeight="1" spans="2:8" x14ac:dyDescent="0.25">
      <c r="B37" s="73">
        <v>47209</v>
      </c>
      <c r="C37" s="79">
        <v>37773.23609035687</v>
      </c>
      <c r="G37" s="2" t="s">
        <v>131</v>
      </c>
      <c r="H37" s="57">
        <v>0.31517403265321153</v>
      </c>
    </row>
    <row r="38" ht="11.55" customHeight="1" spans="2:8" x14ac:dyDescent="0.25">
      <c r="B38" s="73">
        <v>47239</v>
      </c>
      <c r="C38" s="79">
        <v>38350.945645873675</v>
      </c>
      <c r="G38" s="2" t="s">
        <v>132</v>
      </c>
      <c r="H38" s="57">
        <v>0.3117100659508339</v>
      </c>
    </row>
    <row r="39" ht="11.55" customHeight="1" spans="2:8" x14ac:dyDescent="0.25">
      <c r="B39" s="73">
        <v>47270</v>
      </c>
      <c r="C39" s="79">
        <v>39192.504612957564</v>
      </c>
      <c r="G39" s="2" t="s">
        <v>133</v>
      </c>
      <c r="H39" s="57">
        <v>0.30824686871178664</v>
      </c>
    </row>
    <row r="40" ht="11.55" customHeight="1" spans="2:8" x14ac:dyDescent="0.25">
      <c r="B40" s="73">
        <v>47300</v>
      </c>
      <c r="C40" s="79">
        <v>40177.80199605892</v>
      </c>
      <c r="G40" s="2" t="s">
        <v>134</v>
      </c>
      <c r="H40" s="57">
        <v>0.30478367147273944</v>
      </c>
    </row>
    <row r="41" ht="11.55" customHeight="1" spans="2:8" x14ac:dyDescent="0.25">
      <c r="B41" s="73">
        <v>47331</v>
      </c>
      <c r="C41" s="79">
        <v>40653.313122332496</v>
      </c>
      <c r="G41" s="2" t="s">
        <v>135</v>
      </c>
      <c r="H41" s="57">
        <v>0.3030516881215506</v>
      </c>
    </row>
    <row r="42" ht="14.4" customHeight="1" spans="2:8" x14ac:dyDescent="0.25">
      <c r="B42" s="73">
        <v>47362</v>
      </c>
      <c r="C42" s="79">
        <v>41230.91050471592</v>
      </c>
      <c r="G42" s="2" t="s">
        <v>136</v>
      </c>
      <c r="H42" s="57">
        <v>0.29958849088250333</v>
      </c>
    </row>
    <row r="43" ht="14.4" customHeight="1" spans="2:8" x14ac:dyDescent="0.25">
      <c r="B43" s="73">
        <v>47392</v>
      </c>
      <c r="C43" s="79">
        <v>41750.06402680537</v>
      </c>
      <c r="G43" s="2" t="s">
        <v>137</v>
      </c>
      <c r="H43" s="57">
        <v>0.29785650753131454</v>
      </c>
    </row>
    <row r="44" ht="14.4" customHeight="1" spans="2:8" x14ac:dyDescent="0.25">
      <c r="B44" s="73">
        <v>47423</v>
      </c>
      <c r="C44" s="79">
        <v>42402.03493617121</v>
      </c>
      <c r="G44" s="2" t="s">
        <v>138</v>
      </c>
      <c r="H44" s="57">
        <v>0.2943933102922673</v>
      </c>
    </row>
    <row r="45" ht="14.4" customHeight="1" spans="2:8" x14ac:dyDescent="0.25">
      <c r="B45" s="73">
        <v>47453</v>
      </c>
      <c r="C45" s="79">
        <v>42948.81780920555</v>
      </c>
      <c r="G45" s="2" t="s">
        <v>139</v>
      </c>
      <c r="H45" s="57">
        <v>0.29266132694107844</v>
      </c>
    </row>
    <row r="46" ht="14.4" customHeight="1" spans="2:8" x14ac:dyDescent="0.25">
      <c r="B46" s="73">
        <v>47484</v>
      </c>
      <c r="C46" s="79">
        <v>43107.15232725287</v>
      </c>
      <c r="G46" s="2" t="s">
        <v>140</v>
      </c>
      <c r="H46" s="57">
        <v>0.2909301130532201</v>
      </c>
    </row>
    <row r="47" ht="14.4" customHeight="1" spans="2:8" x14ac:dyDescent="0.25">
      <c r="B47" s="73">
        <v>47515</v>
      </c>
      <c r="C47" s="79">
        <v>43323.72661174839</v>
      </c>
      <c r="G47" s="2" t="s">
        <v>141</v>
      </c>
      <c r="H47" s="57">
        <v>0.28746614635084244</v>
      </c>
    </row>
    <row r="48" ht="14.4" customHeight="1" spans="2:8" x14ac:dyDescent="0.25">
      <c r="B48" s="73">
        <v>47543</v>
      </c>
      <c r="C48" s="79">
        <v>43379.713254110735</v>
      </c>
      <c r="G48" s="2" t="s">
        <v>142</v>
      </c>
      <c r="H48" s="57">
        <v>0.285734932462984</v>
      </c>
    </row>
    <row r="49" ht="14.4" customHeight="1" spans="2:8" x14ac:dyDescent="0.25">
      <c r="B49" s="73">
        <v>47574</v>
      </c>
      <c r="C49" s="79">
        <v>43452.67660587634</v>
      </c>
      <c r="G49" s="2" t="s">
        <v>143</v>
      </c>
      <c r="H49" s="57">
        <v>0.28400294911179513</v>
      </c>
    </row>
    <row r="50" ht="14.4" customHeight="1" spans="2:8" x14ac:dyDescent="0.25">
      <c r="B50" s="73">
        <v>47604</v>
      </c>
      <c r="C50" s="79">
        <v>43476.48632219695</v>
      </c>
      <c r="G50" s="2" t="s">
        <v>144</v>
      </c>
      <c r="H50" s="57">
        <v>0.2822709657606063</v>
      </c>
    </row>
    <row r="51" ht="14.4" customHeight="1" spans="2:8" x14ac:dyDescent="0.25">
      <c r="B51" s="73">
        <v>47635</v>
      </c>
      <c r="C51" s="79">
        <v>43609.07701202549</v>
      </c>
      <c r="G51" s="2" t="s">
        <v>145</v>
      </c>
      <c r="H51" s="57">
        <v>0.28053975187274793</v>
      </c>
    </row>
    <row r="52" ht="14.4" customHeight="1" spans="2:8" x14ac:dyDescent="0.25">
      <c r="B52" s="73">
        <v>47665</v>
      </c>
      <c r="C52" s="79">
        <v>43818.725496274834</v>
      </c>
      <c r="G52" s="2" t="s">
        <v>146</v>
      </c>
      <c r="H52" s="57">
        <v>0.2788077685215591</v>
      </c>
    </row>
    <row r="53" ht="14.4" customHeight="1" spans="2:8" x14ac:dyDescent="0.25">
      <c r="B53" s="73">
        <v>47696</v>
      </c>
      <c r="C53" s="79">
        <v>43695.03769421823</v>
      </c>
      <c r="G53" s="2" t="s">
        <v>147</v>
      </c>
      <c r="H53" s="57">
        <v>0.27707578517037024</v>
      </c>
    </row>
    <row r="54" ht="14.4" customHeight="1" spans="2:8" x14ac:dyDescent="0.25">
      <c r="B54" s="73">
        <v>47727</v>
      </c>
      <c r="C54" s="79">
        <v>43653.22830820949</v>
      </c>
      <c r="G54" s="2" t="s">
        <v>148</v>
      </c>
      <c r="H54" s="57">
        <v>0.2753445712825119</v>
      </c>
    </row>
    <row r="55" ht="14.4" customHeight="1" spans="2:8" x14ac:dyDescent="0.25">
      <c r="B55" s="73">
        <v>47757</v>
      </c>
      <c r="C55" s="79">
        <v>43555.4243740708</v>
      </c>
      <c r="G55" s="2" t="s">
        <v>149</v>
      </c>
      <c r="H55" s="57">
        <v>0.273612587931323</v>
      </c>
    </row>
    <row r="56" ht="14.4" customHeight="1" spans="2:8" x14ac:dyDescent="0.25">
      <c r="B56" s="73">
        <v>47788</v>
      </c>
      <c r="C56" s="79">
        <v>43560.5015501366</v>
      </c>
      <c r="G56" s="2" t="s">
        <v>150</v>
      </c>
      <c r="H56" s="57">
        <v>0.2718806045801342</v>
      </c>
    </row>
    <row r="57" ht="14.4" customHeight="1" spans="2:8" x14ac:dyDescent="0.25">
      <c r="B57" s="73">
        <v>47818</v>
      </c>
      <c r="C57" s="79">
        <v>43565.63924255693</v>
      </c>
      <c r="G57" s="2" t="s">
        <v>151</v>
      </c>
      <c r="H57" s="57">
        <v>0.2718806045801342</v>
      </c>
    </row>
    <row r="58" ht="14.4" customHeight="1" spans="2:8" x14ac:dyDescent="0.25">
      <c r="B58" s="73">
        <v>47849</v>
      </c>
      <c r="C58" s="79">
        <v>43440.26477604743</v>
      </c>
      <c r="G58" s="2" t="s">
        <v>152</v>
      </c>
      <c r="H58" s="57">
        <v>0.2701493906922758</v>
      </c>
    </row>
    <row r="59" ht="14.4" customHeight="1" spans="2:8" x14ac:dyDescent="0.25">
      <c r="B59" s="73">
        <v>47880</v>
      </c>
      <c r="C59" s="79">
        <v>43361.37985636941</v>
      </c>
      <c r="G59" s="2" t="s">
        <v>153</v>
      </c>
      <c r="H59" s="57">
        <v>0.26841740734108693</v>
      </c>
    </row>
    <row r="60" ht="14.4" customHeight="1" spans="2:8" x14ac:dyDescent="0.25">
      <c r="B60" s="73">
        <v>47908</v>
      </c>
      <c r="C60" s="79">
        <v>43235.870826385544</v>
      </c>
      <c r="G60" s="2" t="s">
        <v>154</v>
      </c>
      <c r="H60" s="57">
        <v>0.2666854239898981</v>
      </c>
    </row>
    <row r="61" ht="14.4" customHeight="1" spans="2:8" x14ac:dyDescent="0.25">
      <c r="B61" s="73">
        <v>47939</v>
      </c>
      <c r="C61" s="79">
        <v>43110.361796401674</v>
      </c>
      <c r="G61" s="2" t="s">
        <v>155</v>
      </c>
      <c r="H61" s="57">
        <v>0.2666854239898981</v>
      </c>
    </row>
    <row r="62" ht="14.4" customHeight="1" spans="2:8" x14ac:dyDescent="0.25">
      <c r="B62" s="73">
        <v>47969</v>
      </c>
      <c r="C62" s="79">
        <v>43047.85734887935</v>
      </c>
      <c r="G62" s="2" t="s">
        <v>156</v>
      </c>
      <c r="H62" s="57">
        <v>0.26495421010203973</v>
      </c>
    </row>
    <row r="63" ht="14.4" customHeight="1" spans="2:8" x14ac:dyDescent="0.25">
      <c r="B63" s="73">
        <v>48000</v>
      </c>
      <c r="C63" s="79">
        <v>43056.38509853063</v>
      </c>
      <c r="G63" s="2" t="s">
        <v>157</v>
      </c>
      <c r="H63" s="57">
        <v>0.2632222267508509</v>
      </c>
    </row>
    <row r="64" ht="14.4" customHeight="1" spans="2:8" x14ac:dyDescent="0.25">
      <c r="B64" s="73">
        <v>48030</v>
      </c>
      <c r="C64" s="79">
        <v>43110.84674156823</v>
      </c>
      <c r="G64" s="2" t="s">
        <v>158</v>
      </c>
      <c r="H64" s="57">
        <v>0.2632222267508509</v>
      </c>
    </row>
    <row r="65" ht="14.4" customHeight="1" spans="2:8" x14ac:dyDescent="0.25">
      <c r="B65" s="73">
        <v>48061</v>
      </c>
      <c r="C65" s="79">
        <v>43111.30243550642</v>
      </c>
      <c r="G65" s="2" t="s">
        <v>159</v>
      </c>
      <c r="H65" s="57">
        <v>0.261490243399662</v>
      </c>
    </row>
    <row r="66" ht="14.4" customHeight="1" spans="2:8" x14ac:dyDescent="0.25">
      <c r="B66" s="73">
        <v>48092</v>
      </c>
      <c r="C66" s="79">
        <v>43161.08417370434</v>
      </c>
      <c r="G66" s="2" t="s">
        <v>160</v>
      </c>
      <c r="H66" s="57">
        <v>0.261490243399662</v>
      </c>
    </row>
    <row r="67" ht="14.4" customHeight="1" spans="2:8" x14ac:dyDescent="0.25">
      <c r="B67" s="73">
        <v>48122</v>
      </c>
      <c r="C67" s="79">
        <v>43177.32344859251</v>
      </c>
      <c r="G67" s="2" t="s">
        <v>161</v>
      </c>
      <c r="H67" s="57">
        <v>0.25975902951180363</v>
      </c>
    </row>
    <row r="68" ht="14.4" customHeight="1" spans="2:8" x14ac:dyDescent="0.25">
      <c r="B68" s="73">
        <v>48153</v>
      </c>
      <c r="C68" s="79">
        <v>43227.587870865435</v>
      </c>
      <c r="G68" s="2" t="s">
        <v>162</v>
      </c>
      <c r="H68" s="57">
        <v>0.2580270461606148</v>
      </c>
    </row>
    <row r="69" ht="14.4" customHeight="1" spans="2:8" x14ac:dyDescent="0.25">
      <c r="B69" s="73">
        <v>48183</v>
      </c>
      <c r="C69" s="79">
        <v>43306.574820151465</v>
      </c>
      <c r="G69" s="2" t="s">
        <v>163</v>
      </c>
      <c r="H69" s="57">
        <v>0.2580270461606148</v>
      </c>
    </row>
    <row r="70" ht="14.4" customHeight="1" spans="2:8" x14ac:dyDescent="0.25">
      <c r="B70" s="73">
        <v>48214</v>
      </c>
      <c r="C70" s="79">
        <v>43306.574820151465</v>
      </c>
      <c r="G70" s="2" t="s">
        <v>164</v>
      </c>
      <c r="H70" s="57">
        <v>0.25629506280942593</v>
      </c>
    </row>
    <row r="71" ht="14.4" customHeight="1" spans="2:8" x14ac:dyDescent="0.25">
      <c r="B71" s="73">
        <v>48245</v>
      </c>
      <c r="C71" s="79">
        <v>43334.954963298725</v>
      </c>
      <c r="G71" s="2" t="s">
        <v>165</v>
      </c>
      <c r="H71" s="57">
        <v>0.25629506280942593</v>
      </c>
    </row>
    <row r="72" ht="14.4" customHeight="1" spans="2:8" x14ac:dyDescent="0.25">
      <c r="B72" s="73">
        <v>48274</v>
      </c>
      <c r="C72" s="79">
        <v>43334.954963298725</v>
      </c>
      <c r="G72" s="2" t="s">
        <v>166</v>
      </c>
      <c r="H72" s="57">
        <v>0.2545638489215676</v>
      </c>
    </row>
    <row r="73" ht="14.4" customHeight="1" spans="2:8" x14ac:dyDescent="0.25">
      <c r="B73" s="73">
        <v>48305</v>
      </c>
      <c r="C73" s="79">
        <v>43334.954963298725</v>
      </c>
      <c r="G73" s="2" t="s">
        <v>167</v>
      </c>
      <c r="H73" s="57">
        <v>0.2545638489215676</v>
      </c>
    </row>
    <row r="74" ht="14.4" customHeight="1" spans="2:8" x14ac:dyDescent="0.25">
      <c r="B74" s="73">
        <v>48335</v>
      </c>
      <c r="C74" s="79">
        <v>43325.00078598156</v>
      </c>
      <c r="G74" s="2" t="s">
        <v>168</v>
      </c>
      <c r="H74" s="57">
        <v>0.25283186557037873</v>
      </c>
    </row>
    <row r="75" ht="14.4" customHeight="1" spans="2:8" x14ac:dyDescent="0.25">
      <c r="B75" s="73">
        <v>48366</v>
      </c>
      <c r="C75" s="79">
        <v>43241.01695159193</v>
      </c>
      <c r="G75" s="2" t="s">
        <v>169</v>
      </c>
      <c r="H75" s="57">
        <v>0.25283186557037873</v>
      </c>
    </row>
    <row r="76" ht="14.4" customHeight="1" spans="2:8" x14ac:dyDescent="0.25">
      <c r="B76" s="73">
        <v>48396</v>
      </c>
      <c r="C76" s="79">
        <v>43127.68497133806</v>
      </c>
      <c r="G76" s="2" t="s">
        <v>170</v>
      </c>
      <c r="H76" s="57">
        <v>0.2510998822191899</v>
      </c>
    </row>
    <row r="77" ht="14.4" customHeight="1" spans="2:8" x14ac:dyDescent="0.25">
      <c r="B77" s="73">
        <v>48427</v>
      </c>
      <c r="C77" s="79">
        <v>43127.39870741521</v>
      </c>
      <c r="G77" s="2" t="s">
        <v>171</v>
      </c>
      <c r="H77" s="57">
        <v>0.2510998822191899</v>
      </c>
    </row>
    <row r="78" ht="14.4" customHeight="1" spans="2:8" x14ac:dyDescent="0.25">
      <c r="B78" s="73">
        <v>48458</v>
      </c>
      <c r="C78" s="79">
        <v>43096.12614820737</v>
      </c>
      <c r="G78" s="2" t="s">
        <v>172</v>
      </c>
      <c r="H78" s="57">
        <v>0.24936866833133148</v>
      </c>
    </row>
    <row r="79" ht="14.4" customHeight="1" spans="2:8" x14ac:dyDescent="0.25">
      <c r="B79" s="73">
        <v>48488</v>
      </c>
      <c r="C79" s="79">
        <v>43085.924742956835</v>
      </c>
      <c r="G79" s="2" t="s">
        <v>173</v>
      </c>
      <c r="H79" s="57">
        <v>0.24936866833133148</v>
      </c>
    </row>
    <row r="80" ht="14.4" customHeight="1" spans="2:8" x14ac:dyDescent="0.25">
      <c r="B80" s="73">
        <v>48519</v>
      </c>
      <c r="C80" s="79">
        <v>43054.34896480041</v>
      </c>
      <c r="G80" s="2" t="s">
        <v>174</v>
      </c>
      <c r="H80" s="57">
        <v>0.24763668498014263</v>
      </c>
    </row>
    <row r="81" ht="14.4" customHeight="1" spans="2:8" x14ac:dyDescent="0.25">
      <c r="B81" s="73">
        <v>48549</v>
      </c>
      <c r="C81" s="79">
        <v>43004.72988484032</v>
      </c>
      <c r="G81" s="2" t="s">
        <v>175</v>
      </c>
      <c r="H81" s="57">
        <v>0.24763668498014263</v>
      </c>
    </row>
    <row r="82" ht="14.4" customHeight="1" spans="2:8" x14ac:dyDescent="0.25">
      <c r="B82" s="73">
        <v>48580</v>
      </c>
      <c r="C82" s="79">
        <v>43004.72988484032</v>
      </c>
      <c r="G82" s="2" t="s">
        <v>176</v>
      </c>
      <c r="H82" s="57">
        <v>0.24590470162895378</v>
      </c>
    </row>
    <row r="83" ht="14.4" customHeight="1" spans="2:8" x14ac:dyDescent="0.25">
      <c r="B83" s="73">
        <v>48611</v>
      </c>
      <c r="C83" s="79">
        <v>42986.90166632028</v>
      </c>
      <c r="G83" s="2" t="s">
        <v>177</v>
      </c>
      <c r="H83" s="57">
        <v>0.24590470162895378</v>
      </c>
    </row>
    <row r="84" ht="14.4" customHeight="1" spans="2:8" x14ac:dyDescent="0.25">
      <c r="B84" s="73">
        <v>48639</v>
      </c>
      <c r="C84" s="79">
        <v>42986.90166632028</v>
      </c>
      <c r="G84" s="2" t="s">
        <v>178</v>
      </c>
      <c r="H84" s="57">
        <v>0.24590470162895378</v>
      </c>
    </row>
    <row r="85" ht="14.4" customHeight="1" spans="2:8" x14ac:dyDescent="0.25">
      <c r="B85" s="73">
        <v>48670</v>
      </c>
      <c r="C85" s="79">
        <v>42986.90166632028</v>
      </c>
      <c r="G85" s="2" t="s">
        <v>179</v>
      </c>
      <c r="H85" s="57">
        <v>0.24417348774109537</v>
      </c>
    </row>
    <row r="86" ht="14.4" customHeight="1" spans="2:8" x14ac:dyDescent="0.25">
      <c r="B86" s="73">
        <v>48700</v>
      </c>
      <c r="C86" s="79">
        <v>42990.88827713235</v>
      </c>
      <c r="G86" s="2" t="s">
        <v>180</v>
      </c>
      <c r="H86" s="57">
        <v>0.24417348774109537</v>
      </c>
    </row>
    <row r="87" ht="14.4" customHeight="1" spans="2:8" x14ac:dyDescent="0.25">
      <c r="B87" s="73">
        <v>48731</v>
      </c>
      <c r="C87" s="79">
        <v>43024.52348891821</v>
      </c>
      <c r="G87" s="2" t="s">
        <v>181</v>
      </c>
      <c r="H87" s="57">
        <v>0.24244150438990655</v>
      </c>
    </row>
    <row r="88" ht="14.4" customHeight="1" spans="2:8" x14ac:dyDescent="0.25">
      <c r="B88" s="73">
        <v>48761</v>
      </c>
      <c r="C88" s="79">
        <v>43069.91252343484</v>
      </c>
      <c r="G88" s="2" t="s">
        <v>182</v>
      </c>
      <c r="H88" s="57">
        <v>0.24244150438990655</v>
      </c>
    </row>
    <row r="89" ht="14.4" customHeight="1" spans="2:8" x14ac:dyDescent="0.25">
      <c r="B89" s="73">
        <v>48792</v>
      </c>
      <c r="C89" s="79">
        <v>43070.02717106604</v>
      </c>
      <c r="G89" s="2" t="s">
        <v>183</v>
      </c>
      <c r="H89" s="57">
        <v>0.24070952103871773</v>
      </c>
    </row>
    <row r="90" ht="14.4" customHeight="1" spans="2:8" x14ac:dyDescent="0.25">
      <c r="B90" s="73">
        <v>48823</v>
      </c>
      <c r="C90" s="79">
        <v>43082.551714148474</v>
      </c>
      <c r="G90" s="2" t="s">
        <v>184</v>
      </c>
      <c r="H90" s="57">
        <v>0.24070952103871773</v>
      </c>
    </row>
    <row r="91" ht="14.4" customHeight="1" spans="2:8" x14ac:dyDescent="0.25">
      <c r="B91" s="73">
        <v>48853</v>
      </c>
      <c r="C91" s="79">
        <v>43086.63733882385</v>
      </c>
      <c r="G91" s="2" t="s">
        <v>185</v>
      </c>
      <c r="H91" s="57">
        <v>0.24070952103871773</v>
      </c>
    </row>
    <row r="92" ht="14.4" customHeight="1" spans="2:8" x14ac:dyDescent="0.25">
      <c r="B92" s="73">
        <v>48884</v>
      </c>
      <c r="C92" s="79">
        <v>43099.28331996193</v>
      </c>
      <c r="G92" s="2" t="s">
        <v>186</v>
      </c>
      <c r="H92" s="57">
        <v>0.23897830715085933</v>
      </c>
    </row>
    <row r="93" ht="14.4" customHeight="1" spans="2:8" x14ac:dyDescent="0.25">
      <c r="B93" s="73">
        <v>48914</v>
      </c>
      <c r="C93" s="79">
        <v>43119.15557603605</v>
      </c>
      <c r="G93" s="2" t="s">
        <v>187</v>
      </c>
      <c r="H93" s="57">
        <v>0.23897830715085933</v>
      </c>
    </row>
    <row r="94" ht="14.4" customHeight="1" spans="2:8" x14ac:dyDescent="0.25">
      <c r="B94" s="73">
        <v>48945</v>
      </c>
      <c r="C94" s="79">
        <v>43119.15557603605</v>
      </c>
      <c r="G94" s="2" t="s">
        <v>188</v>
      </c>
      <c r="H94" s="57">
        <v>0.23724632379967048</v>
      </c>
    </row>
    <row r="95" ht="14.4" customHeight="1" spans="2:8" x14ac:dyDescent="0.25">
      <c r="B95" s="73">
        <v>48976</v>
      </c>
      <c r="C95" s="79">
        <v>43126.29571092087</v>
      </c>
      <c r="G95" s="2" t="s">
        <v>189</v>
      </c>
      <c r="H95" s="57">
        <v>0.23724632379967048</v>
      </c>
    </row>
    <row r="96" ht="14.4" customHeight="1" spans="2:8" x14ac:dyDescent="0.25">
      <c r="B96" s="73">
        <v>49004</v>
      </c>
      <c r="C96" s="79">
        <v>43126.29571092087</v>
      </c>
      <c r="G96" s="2" t="s">
        <v>190</v>
      </c>
      <c r="H96" s="57">
        <v>0.23724632379967048</v>
      </c>
    </row>
    <row r="97" ht="14.4" customHeight="1" spans="2:8" x14ac:dyDescent="0.25">
      <c r="B97" s="73">
        <v>49035</v>
      </c>
      <c r="C97" s="79">
        <v>43126.29571092087</v>
      </c>
      <c r="G97" s="2" t="s">
        <v>191</v>
      </c>
      <c r="H97" s="57">
        <v>0.23551434044848166</v>
      </c>
    </row>
    <row r="98" ht="14.4" customHeight="1" spans="2:8" x14ac:dyDescent="0.25">
      <c r="B98" s="73">
        <v>49065</v>
      </c>
      <c r="C98" s="79">
        <v>43132.51471737827</v>
      </c>
      <c r="G98" s="2" t="s">
        <v>192</v>
      </c>
      <c r="H98" s="57">
        <v>0.23551434044848166</v>
      </c>
    </row>
    <row r="99" ht="14.4" customHeight="1" spans="2:8" x14ac:dyDescent="0.25">
      <c r="B99" s="73">
        <v>49096</v>
      </c>
      <c r="C99" s="79">
        <v>43184.98474998307</v>
      </c>
      <c r="G99" s="2" t="s">
        <v>193</v>
      </c>
      <c r="H99" s="57">
        <v>0.23551434044848166</v>
      </c>
    </row>
    <row r="100" ht="14.4" customHeight="1" spans="2:8" x14ac:dyDescent="0.25">
      <c r="B100" s="73">
        <v>49126</v>
      </c>
      <c r="C100" s="79">
        <v>43255.79043231832</v>
      </c>
      <c r="G100" s="2" t="s">
        <v>194</v>
      </c>
      <c r="H100" s="57">
        <v>0.23378312656062325</v>
      </c>
    </row>
    <row r="101" ht="14.4" customHeight="1" spans="2:8" x14ac:dyDescent="0.25">
      <c r="B101" s="73">
        <v>49157</v>
      </c>
      <c r="C101" s="79">
        <v>43255.96927956285</v>
      </c>
      <c r="G101" s="2" t="s">
        <v>195</v>
      </c>
      <c r="H101" s="57">
        <v>0.23378312656062325</v>
      </c>
    </row>
    <row r="102" ht="14.4" customHeight="1" spans="2:8" x14ac:dyDescent="0.25">
      <c r="B102" s="73">
        <v>49188</v>
      </c>
      <c r="C102" s="79">
        <v>43275.507232470045</v>
      </c>
      <c r="G102" s="2" t="s">
        <v>196</v>
      </c>
      <c r="H102" s="57">
        <v>0.23378312656062325</v>
      </c>
    </row>
    <row r="103" ht="14.4" customHeight="1" spans="2:8" x14ac:dyDescent="0.25">
      <c r="B103" s="73">
        <v>49218</v>
      </c>
      <c r="C103" s="79">
        <v>43281.88069791135</v>
      </c>
      <c r="G103" s="2" t="s">
        <v>197</v>
      </c>
      <c r="H103" s="57">
        <v>0.2320511432094344</v>
      </c>
    </row>
    <row r="104" ht="14.4" customHeight="1" spans="2:8" x14ac:dyDescent="0.25">
      <c r="B104" s="73">
        <v>49249</v>
      </c>
      <c r="C104" s="79">
        <v>43301.608090943955</v>
      </c>
      <c r="G104" s="2" t="s">
        <v>198</v>
      </c>
      <c r="H104" s="57">
        <v>0.2320511432094344</v>
      </c>
    </row>
    <row r="105" ht="14.4" customHeight="1" spans="2:8" x14ac:dyDescent="0.25">
      <c r="B105" s="73">
        <v>49279</v>
      </c>
      <c r="C105" s="79">
        <v>43332.608279995206</v>
      </c>
      <c r="G105" s="2" t="s">
        <v>199</v>
      </c>
      <c r="H105" s="57">
        <v>0.2320511432094344</v>
      </c>
    </row>
    <row r="106" ht="14.4" customHeight="1" spans="2:8" x14ac:dyDescent="0.25">
      <c r="B106" s="73">
        <v>49310</v>
      </c>
      <c r="C106" s="79">
        <v>43332.608279995206</v>
      </c>
      <c r="G106" s="2" t="s">
        <v>200</v>
      </c>
      <c r="H106" s="57">
        <v>0.23031915985824558</v>
      </c>
    </row>
    <row r="107" ht="14.4" customHeight="1" spans="2:8" x14ac:dyDescent="0.25">
      <c r="B107" s="73">
        <v>49341</v>
      </c>
      <c r="C107" s="79">
        <v>43343.74669983315</v>
      </c>
      <c r="G107" s="2" t="s">
        <v>201</v>
      </c>
      <c r="H107" s="57">
        <v>0.23031915985824558</v>
      </c>
    </row>
    <row r="108" ht="14.4" customHeight="1" spans="2:8" x14ac:dyDescent="0.25">
      <c r="B108" s="73">
        <v>49369</v>
      </c>
      <c r="C108" s="79">
        <v>43343.74669983315</v>
      </c>
      <c r="G108" s="2" t="s">
        <v>202</v>
      </c>
      <c r="H108" s="57">
        <v>0.23031915985824558</v>
      </c>
    </row>
    <row r="109" ht="14.4" customHeight="1" spans="2:8" x14ac:dyDescent="0.25">
      <c r="B109" s="73">
        <v>49400</v>
      </c>
      <c r="C109" s="79">
        <v>43343.74669983315</v>
      </c>
      <c r="G109" s="2" t="s">
        <v>203</v>
      </c>
      <c r="H109" s="57">
        <v>0.22858794597038715</v>
      </c>
    </row>
    <row r="110" ht="14.4" customHeight="1" spans="2:8" x14ac:dyDescent="0.25">
      <c r="B110" s="73">
        <v>49430</v>
      </c>
      <c r="C110" s="79">
        <v>43349.71145932787</v>
      </c>
      <c r="G110" s="2" t="s">
        <v>204</v>
      </c>
      <c r="H110" s="57">
        <v>0.22858794597038715</v>
      </c>
    </row>
    <row r="111" ht="14.4" customHeight="1" spans="2:8" x14ac:dyDescent="0.25">
      <c r="B111" s="73">
        <v>49461</v>
      </c>
      <c r="C111" s="79">
        <v>43400.03639906094</v>
      </c>
      <c r="G111" s="2" t="s">
        <v>205</v>
      </c>
      <c r="H111" s="57">
        <v>0.22858794597038715</v>
      </c>
    </row>
    <row r="112" ht="14.4" customHeight="1" spans="2:8" x14ac:dyDescent="0.25">
      <c r="B112" s="73">
        <v>49491</v>
      </c>
      <c r="C112" s="79">
        <v>43467.94738594975</v>
      </c>
      <c r="G112" s="2" t="s">
        <v>206</v>
      </c>
      <c r="H112" s="57">
        <v>0.22685596261919833</v>
      </c>
    </row>
    <row r="113" ht="14.4" customHeight="1" spans="2:8" x14ac:dyDescent="0.25">
      <c r="B113" s="73">
        <v>49522</v>
      </c>
      <c r="C113" s="79">
        <v>43468.11892151692</v>
      </c>
      <c r="G113" s="2" t="s">
        <v>207</v>
      </c>
      <c r="H113" s="57">
        <v>0.22685596261919833</v>
      </c>
    </row>
    <row r="114" ht="14.4" customHeight="1" spans="2:8" x14ac:dyDescent="0.25">
      <c r="B114" s="73">
        <v>49553</v>
      </c>
      <c r="C114" s="79">
        <v>43486.8581189931</v>
      </c>
      <c r="G114" s="2" t="s">
        <v>208</v>
      </c>
      <c r="H114" s="57">
        <v>0.22685596261919833</v>
      </c>
    </row>
    <row r="115" ht="14.4" customHeight="1" spans="2:8" x14ac:dyDescent="0.25">
      <c r="B115" s="73">
        <v>49583</v>
      </c>
      <c r="C115" s="79">
        <v>43492.97102284129</v>
      </c>
      <c r="G115" s="2" t="s">
        <v>209</v>
      </c>
      <c r="H115" s="57">
        <v>0.22512397926800948</v>
      </c>
    </row>
    <row r="116" ht="14.4" customHeight="1" spans="2:8" x14ac:dyDescent="0.25">
      <c r="B116" s="73">
        <v>49614</v>
      </c>
      <c r="C116" s="79">
        <v>43511.89191570472</v>
      </c>
      <c r="G116" s="2" t="s">
        <v>210</v>
      </c>
      <c r="H116" s="57">
        <v>0.22512397926800948</v>
      </c>
    </row>
    <row r="117" ht="14.4" customHeight="1" spans="2:8" x14ac:dyDescent="0.25">
      <c r="B117" s="73">
        <v>49644</v>
      </c>
      <c r="C117" s="79">
        <v>43541.62474734727</v>
      </c>
      <c r="G117" s="2" t="s">
        <v>211</v>
      </c>
      <c r="H117" s="57">
        <v>0.22512397926800948</v>
      </c>
    </row>
    <row r="118" ht="14.4" customHeight="1" spans="2:8" x14ac:dyDescent="0.25">
      <c r="B118" s="73">
        <v>49675</v>
      </c>
      <c r="C118" s="79">
        <v>43541.62474734727</v>
      </c>
      <c r="G118" s="2" t="s">
        <v>212</v>
      </c>
      <c r="H118" s="57">
        <v>0.2233927653801511</v>
      </c>
    </row>
    <row r="119" ht="14.4" customHeight="1" spans="2:8" x14ac:dyDescent="0.25">
      <c r="B119" s="73">
        <v>49706</v>
      </c>
      <c r="C119" s="79">
        <v>43552.30780354599</v>
      </c>
      <c r="G119" s="2" t="s">
        <v>213</v>
      </c>
      <c r="H119" s="57">
        <v>0.2233927653801511</v>
      </c>
    </row>
    <row r="120" ht="14.4" customHeight="1" spans="2:8" x14ac:dyDescent="0.25">
      <c r="B120" s="73">
        <v>49735</v>
      </c>
      <c r="C120" s="79">
        <v>43552.30780354599</v>
      </c>
      <c r="G120" s="2" t="s">
        <v>214</v>
      </c>
      <c r="H120" s="57">
        <v>0.2233927653801511</v>
      </c>
    </row>
    <row r="121" ht="14.4" customHeight="1" spans="2:8" x14ac:dyDescent="0.25">
      <c r="B121" s="73">
        <v>49766</v>
      </c>
      <c r="C121" s="79">
        <v>43552.30780354599</v>
      </c>
      <c r="G121" s="2" t="s">
        <v>215</v>
      </c>
      <c r="H121" s="57">
        <v>0.22166078202896228</v>
      </c>
    </row>
    <row r="122" ht="14.4" customHeight="1" spans="2:8" x14ac:dyDescent="0.25">
      <c r="B122" s="73">
        <v>49796</v>
      </c>
      <c r="C122" s="79">
        <v>43558.059639988765</v>
      </c>
      <c r="G122" s="2" t="s">
        <v>216</v>
      </c>
      <c r="H122" s="57">
        <v>0.22166078202896228</v>
      </c>
    </row>
    <row r="123" ht="14.4" customHeight="1" spans="2:8" x14ac:dyDescent="0.25">
      <c r="B123" s="73">
        <v>49827</v>
      </c>
      <c r="C123" s="79">
        <v>43606.58813851299</v>
      </c>
      <c r="G123" s="2" t="s">
        <v>217</v>
      </c>
      <c r="H123" s="57">
        <v>0.22166078202896228</v>
      </c>
    </row>
    <row r="124" ht="14.4" customHeight="1" spans="2:8" x14ac:dyDescent="0.25">
      <c r="B124" s="73">
        <v>49857</v>
      </c>
      <c r="C124" s="79">
        <v>43672.07491792083</v>
      </c>
      <c r="G124" s="2" t="s">
        <v>218</v>
      </c>
      <c r="H124" s="57">
        <v>0.2199287986777734</v>
      </c>
    </row>
    <row r="125" ht="14.4" customHeight="1" spans="2:8" x14ac:dyDescent="0.25">
      <c r="B125" s="73">
        <v>49888</v>
      </c>
      <c r="C125" s="79">
        <v>43672.24033021068</v>
      </c>
      <c r="G125" s="2" t="s">
        <v>219</v>
      </c>
      <c r="H125" s="57">
        <v>0.2199287986777734</v>
      </c>
    </row>
    <row r="126" ht="14.4" customHeight="1" spans="2:8" x14ac:dyDescent="0.25">
      <c r="B126" s="73">
        <v>49919</v>
      </c>
      <c r="C126" s="79">
        <v>43690.310597594835</v>
      </c>
      <c r="G126" s="2" t="s">
        <v>220</v>
      </c>
      <c r="H126" s="57">
        <v>0.2199287986777734</v>
      </c>
    </row>
    <row r="127" ht="14.4" customHeight="1" spans="2:8" x14ac:dyDescent="0.25">
      <c r="B127" s="73">
        <v>49949</v>
      </c>
      <c r="C127" s="79">
        <v>43696.20529010612</v>
      </c>
      <c r="G127" s="2" t="s">
        <v>221</v>
      </c>
      <c r="H127" s="57">
        <v>0.21819758478991505</v>
      </c>
    </row>
    <row r="128" ht="14.4" customHeight="1" spans="2:8" x14ac:dyDescent="0.25">
      <c r="B128" s="73">
        <v>49980</v>
      </c>
      <c r="C128" s="79">
        <v>43714.45076692677</v>
      </c>
      <c r="G128" s="2" t="s">
        <v>222</v>
      </c>
      <c r="H128" s="57">
        <v>0.21819758478991505</v>
      </c>
    </row>
    <row r="129" ht="14.4" customHeight="1" spans="2:8" x14ac:dyDescent="0.25">
      <c r="B129" s="73">
        <v>50010</v>
      </c>
      <c r="C129" s="79">
        <v>43743.12223050208</v>
      </c>
      <c r="G129" s="2" t="s">
        <v>223</v>
      </c>
      <c r="H129" s="57">
        <v>0.21819758478991505</v>
      </c>
    </row>
    <row r="130" ht="14.4" customHeight="1" spans="2:8" x14ac:dyDescent="0.25">
      <c r="B130" s="73">
        <v>50041</v>
      </c>
      <c r="C130" s="79">
        <v>43743.12223050208</v>
      </c>
      <c r="G130" s="2" t="s">
        <v>224</v>
      </c>
      <c r="H130" s="57">
        <v>0.2164656014387262</v>
      </c>
    </row>
    <row r="131" ht="14.4" customHeight="1" spans="2:8" x14ac:dyDescent="0.25">
      <c r="B131" s="73">
        <v>50072</v>
      </c>
      <c r="C131" s="79">
        <v>43753.42393537692</v>
      </c>
      <c r="G131" s="2" t="s">
        <v>225</v>
      </c>
      <c r="H131" s="57">
        <v>0.2164656014387262</v>
      </c>
    </row>
    <row r="132" ht="14.4" customHeight="1" spans="2:8" x14ac:dyDescent="0.25">
      <c r="B132" s="73">
        <v>50100</v>
      </c>
      <c r="C132" s="79">
        <v>43753.42393537692</v>
      </c>
      <c r="G132" s="2" t="s">
        <v>226</v>
      </c>
      <c r="H132" s="57">
        <v>0.2164656014387262</v>
      </c>
    </row>
    <row r="133" ht="14.4" customHeight="1" spans="2:8" x14ac:dyDescent="0.25">
      <c r="B133" s="73">
        <v>50131</v>
      </c>
      <c r="C133" s="79">
        <v>43753.42393537692</v>
      </c>
      <c r="G133" s="2" t="s">
        <v>227</v>
      </c>
      <c r="H133" s="57">
        <v>0.21473361808753735</v>
      </c>
    </row>
    <row r="134" ht="14.4" customHeight="1" spans="2:8" x14ac:dyDescent="0.25">
      <c r="B134" s="73">
        <v>50161</v>
      </c>
      <c r="C134" s="79">
        <v>43758.99492786032</v>
      </c>
      <c r="G134" s="2" t="s">
        <v>228</v>
      </c>
      <c r="H134" s="57">
        <v>0.21473361808753735</v>
      </c>
    </row>
    <row r="135" ht="14.4" customHeight="1" spans="2:8" x14ac:dyDescent="0.25">
      <c r="B135" s="73">
        <v>50192</v>
      </c>
      <c r="C135" s="79">
        <v>43805.99763789895</v>
      </c>
      <c r="G135" s="2" t="s">
        <v>229</v>
      </c>
      <c r="H135" s="57">
        <v>0.21473361808753735</v>
      </c>
    </row>
    <row r="136" ht="14.4" customHeight="1" spans="2:8" x14ac:dyDescent="0.25">
      <c r="B136" s="73">
        <v>50222</v>
      </c>
      <c r="C136" s="79">
        <v>43869.42544212688</v>
      </c>
      <c r="G136" s="2" t="s">
        <v>230</v>
      </c>
      <c r="H136" s="57">
        <v>0.21473361808753735</v>
      </c>
    </row>
    <row r="137" ht="14.4" customHeight="1" spans="2:8" x14ac:dyDescent="0.25">
      <c r="B137" s="73">
        <v>50253</v>
      </c>
      <c r="C137" s="79">
        <v>43869.58565367542</v>
      </c>
      <c r="G137" s="2" t="s">
        <v>231</v>
      </c>
      <c r="H137" s="57">
        <v>0.21300240419967897</v>
      </c>
    </row>
    <row r="138" ht="14.4" customHeight="1" spans="2:8" x14ac:dyDescent="0.25">
      <c r="B138" s="73">
        <v>50284</v>
      </c>
      <c r="C138" s="79">
        <v>43887.08777230687</v>
      </c>
      <c r="G138" s="2" t="s">
        <v>232</v>
      </c>
      <c r="H138" s="57">
        <v>0.21300240419967897</v>
      </c>
    </row>
    <row r="139" ht="14.4" customHeight="1" spans="2:8" x14ac:dyDescent="0.25">
      <c r="B139" s="73">
        <v>50314</v>
      </c>
      <c r="C139" s="79">
        <v>43892.79712930947</v>
      </c>
      <c r="G139" s="2" t="s">
        <v>233</v>
      </c>
      <c r="H139" s="57">
        <v>0.21300240419967897</v>
      </c>
    </row>
    <row r="140" ht="14.4" customHeight="1" spans="2:8" x14ac:dyDescent="0.25">
      <c r="B140" s="73">
        <v>50345</v>
      </c>
      <c r="C140" s="79">
        <v>43910.468948603215</v>
      </c>
      <c r="G140" s="2" t="s">
        <v>234</v>
      </c>
      <c r="H140" s="57">
        <v>0.21127042084849015</v>
      </c>
    </row>
    <row r="141" ht="14.4" customHeight="1" spans="2:8" x14ac:dyDescent="0.25">
      <c r="B141" s="73">
        <v>50375</v>
      </c>
      <c r="C141" s="79">
        <v>43938.238950350555</v>
      </c>
      <c r="G141" s="2" t="s">
        <v>235</v>
      </c>
      <c r="H141" s="57">
        <v>0.21127042084849015</v>
      </c>
    </row>
    <row r="142" ht="14.4" customHeight="1" spans="2:8" x14ac:dyDescent="0.25">
      <c r="B142" s="73">
        <v>50406</v>
      </c>
      <c r="C142" s="79">
        <v>43938.238950350555</v>
      </c>
      <c r="G142" s="2" t="s">
        <v>236</v>
      </c>
      <c r="H142" s="57">
        <v>0.21127042084849015</v>
      </c>
    </row>
    <row r="143" ht="14.4" customHeight="1" spans="2:8" x14ac:dyDescent="0.25">
      <c r="B143" s="73">
        <v>50437</v>
      </c>
      <c r="C143" s="79">
        <v>43948.216758481045</v>
      </c>
      <c r="G143" s="2" t="s">
        <v>237</v>
      </c>
      <c r="H143" s="57">
        <v>0.20953843749730128</v>
      </c>
    </row>
    <row r="144" ht="14.4" customHeight="1" spans="2:8" x14ac:dyDescent="0.25">
      <c r="B144" s="73">
        <v>50465</v>
      </c>
      <c r="C144" s="79">
        <v>43948.216758481045</v>
      </c>
      <c r="G144" s="2" t="s">
        <v>238</v>
      </c>
      <c r="H144" s="57">
        <v>0.20953843749730128</v>
      </c>
    </row>
    <row r="145" ht="14.4" customHeight="1" spans="2:8" x14ac:dyDescent="0.25">
      <c r="B145" s="73">
        <v>50496</v>
      </c>
      <c r="C145" s="79">
        <v>43948.216758481045</v>
      </c>
      <c r="G145" s="2" t="s">
        <v>239</v>
      </c>
      <c r="H145" s="57">
        <v>0.20953843749730128</v>
      </c>
    </row>
    <row r="146" ht="14.4" customHeight="1" spans="2:8" x14ac:dyDescent="0.25">
      <c r="B146" s="73">
        <v>50526</v>
      </c>
      <c r="C146" s="79">
        <v>43953.63230343142</v>
      </c>
      <c r="G146" s="2" t="s">
        <v>240</v>
      </c>
      <c r="H146" s="57">
        <v>0.20953843749730128</v>
      </c>
    </row>
    <row r="147" ht="14.4" customHeight="1" spans="2:8" x14ac:dyDescent="0.25">
      <c r="B147" s="73">
        <v>50557</v>
      </c>
      <c r="C147" s="79">
        <v>43999.32349575703</v>
      </c>
      <c r="G147" s="2" t="s">
        <v>241</v>
      </c>
      <c r="H147" s="57">
        <v>0.2078072236094429</v>
      </c>
    </row>
    <row r="148" ht="14.4" customHeight="1" spans="2:8" x14ac:dyDescent="0.25">
      <c r="B148" s="73">
        <v>50587</v>
      </c>
      <c r="C148" s="79">
        <v>44060.9814724862</v>
      </c>
      <c r="G148" s="2" t="s">
        <v>242</v>
      </c>
      <c r="H148" s="57">
        <v>0.2078072236094429</v>
      </c>
    </row>
    <row r="149" ht="14.4" customHeight="1" spans="2:8" x14ac:dyDescent="0.25">
      <c r="B149" s="73">
        <v>50618</v>
      </c>
      <c r="C149" s="79">
        <v>44061.13721364817</v>
      </c>
      <c r="G149" s="2" t="s">
        <v>243</v>
      </c>
      <c r="H149" s="57">
        <v>0.2078072236094429</v>
      </c>
    </row>
    <row r="150" ht="14.4" customHeight="1" spans="2:8" x14ac:dyDescent="0.25">
      <c r="B150" s="73">
        <v>50649</v>
      </c>
      <c r="C150" s="79">
        <v>44078.150970255796</v>
      </c>
      <c r="G150" s="2" t="s">
        <v>244</v>
      </c>
      <c r="H150" s="57">
        <v>0.20607524025825408</v>
      </c>
    </row>
    <row r="151" ht="14.4" customHeight="1" spans="2:8" x14ac:dyDescent="0.25">
      <c r="B151" s="73">
        <v>50679</v>
      </c>
      <c r="C151" s="79">
        <v>44083.70101893697</v>
      </c>
      <c r="G151" s="2" t="s">
        <v>245</v>
      </c>
      <c r="H151" s="57">
        <v>0.20607524025825408</v>
      </c>
    </row>
    <row r="152" ht="14.4" customHeight="1" spans="2:8" x14ac:dyDescent="0.25">
      <c r="B152" s="73">
        <v>50710</v>
      </c>
      <c r="C152" s="79">
        <v>44100.87974104536</v>
      </c>
      <c r="G152" s="2" t="s">
        <v>246</v>
      </c>
      <c r="H152" s="57">
        <v>0.20607524025825408</v>
      </c>
    </row>
    <row r="153" ht="14.4" customHeight="1" spans="2:8" x14ac:dyDescent="0.25">
      <c r="B153" s="73">
        <v>50740</v>
      </c>
      <c r="C153" s="79">
        <v>44127.8748757871</v>
      </c>
      <c r="G153" s="2" t="s">
        <v>247</v>
      </c>
      <c r="H153" s="57">
        <v>0.20607524025825408</v>
      </c>
    </row>
    <row r="154" ht="14.4" customHeight="1" spans="2:8" x14ac:dyDescent="0.25">
      <c r="B154" s="73">
        <v>50771</v>
      </c>
      <c r="C154" s="79">
        <v>44127.8748757871</v>
      </c>
      <c r="G154" s="2" t="s">
        <v>248</v>
      </c>
      <c r="H154" s="57">
        <v>0.20434325690706523</v>
      </c>
    </row>
    <row r="155" ht="14.4" customHeight="1" spans="2:8" x14ac:dyDescent="0.25">
      <c r="B155" s="73">
        <v>50802</v>
      </c>
      <c r="C155" s="79">
        <v>44137.57427290492</v>
      </c>
      <c r="G155" s="2" t="s">
        <v>249</v>
      </c>
      <c r="H155" s="57">
        <v>0.20434325690706523</v>
      </c>
    </row>
    <row r="156" ht="14.4" customHeight="1" spans="2:8" x14ac:dyDescent="0.25">
      <c r="B156" s="73">
        <v>50830</v>
      </c>
      <c r="C156" s="79">
        <v>44137.57427290492</v>
      </c>
      <c r="G156" s="2" t="s">
        <v>250</v>
      </c>
      <c r="H156" s="57">
        <v>0.20434325690706523</v>
      </c>
    </row>
    <row r="157" ht="14.4" customHeight="1" spans="2:8" x14ac:dyDescent="0.25">
      <c r="B157" s="73">
        <v>50861</v>
      </c>
      <c r="C157" s="79">
        <v>44137.57427290492</v>
      </c>
      <c r="G157" s="2" t="s">
        <v>251</v>
      </c>
      <c r="H157" s="57">
        <v>0.20261204301920682</v>
      </c>
    </row>
    <row r="158" ht="14.4" customHeight="1" spans="2:8" x14ac:dyDescent="0.25">
      <c r="B158" s="73">
        <v>50891</v>
      </c>
      <c r="C158" s="79">
        <v>44141.91603693603</v>
      </c>
      <c r="G158" s="2" t="s">
        <v>252</v>
      </c>
      <c r="H158" s="57">
        <v>0.20261204301920682</v>
      </c>
    </row>
    <row r="159" ht="14.4" customHeight="1" spans="2:8" x14ac:dyDescent="0.25">
      <c r="B159" s="73">
        <v>50922</v>
      </c>
      <c r="C159" s="79">
        <v>44178.54769214255</v>
      </c>
      <c r="G159" s="2" t="s">
        <v>253</v>
      </c>
      <c r="H159" s="57">
        <v>0.20261204301920682</v>
      </c>
    </row>
    <row r="160" ht="14.4" customHeight="1" spans="2:8" x14ac:dyDescent="0.25">
      <c r="B160" s="73">
        <v>50952</v>
      </c>
      <c r="C160" s="79">
        <v>44227.980277052535</v>
      </c>
      <c r="G160" s="2" t="s">
        <v>254</v>
      </c>
      <c r="H160" s="57">
        <v>0.20261204301920682</v>
      </c>
    </row>
    <row r="161" ht="14.4" customHeight="1" spans="2:8" x14ac:dyDescent="0.25">
      <c r="B161" s="73">
        <v>50983</v>
      </c>
      <c r="C161" s="79">
        <v>44228.10513824036</v>
      </c>
      <c r="G161" s="2" t="s">
        <v>255</v>
      </c>
      <c r="H161" s="57">
        <v>0.20088005966801797</v>
      </c>
    </row>
    <row r="162" ht="14.4" customHeight="1" spans="2:8" x14ac:dyDescent="0.25">
      <c r="B162" s="73">
        <v>51014</v>
      </c>
      <c r="C162" s="79">
        <v>44241.74544907699</v>
      </c>
      <c r="G162" s="2" t="s">
        <v>256</v>
      </c>
      <c r="H162" s="57">
        <v>0.20088005966801797</v>
      </c>
    </row>
    <row r="163" ht="14.4" customHeight="1" spans="2:8" x14ac:dyDescent="0.25">
      <c r="B163" s="73">
        <v>51044</v>
      </c>
      <c r="C163" s="79">
        <v>44246.19504777031</v>
      </c>
      <c r="G163" s="2" t="s">
        <v>257</v>
      </c>
      <c r="H163" s="57">
        <v>0.20088005966801797</v>
      </c>
    </row>
    <row r="164" ht="14.4" customHeight="1" spans="2:8" x14ac:dyDescent="0.25">
      <c r="B164" s="73">
        <v>51075</v>
      </c>
      <c r="C164" s="79">
        <v>44259.96761515437</v>
      </c>
      <c r="G164" s="2" t="s">
        <v>258</v>
      </c>
      <c r="H164" s="57">
        <v>0.20088005966801797</v>
      </c>
    </row>
    <row r="165" ht="14.4" customHeight="1" spans="2:8" x14ac:dyDescent="0.25">
      <c r="B165" s="73">
        <v>51105</v>
      </c>
      <c r="C165" s="79">
        <v>44281.61022104362</v>
      </c>
      <c r="G165" s="2" t="s">
        <v>259</v>
      </c>
      <c r="H165" s="57">
        <v>0.19914807631682915</v>
      </c>
    </row>
    <row r="166" ht="14.4" customHeight="1" spans="2:8" x14ac:dyDescent="0.25">
      <c r="B166" s="73">
        <v>51136</v>
      </c>
      <c r="C166" s="79">
        <v>44281.61022104362</v>
      </c>
      <c r="G166" s="2" t="s">
        <v>260</v>
      </c>
      <c r="H166" s="57">
        <v>0.19914807631682915</v>
      </c>
    </row>
    <row r="167" ht="14.4" customHeight="1" spans="2:8" x14ac:dyDescent="0.25">
      <c r="B167" s="73">
        <v>51167</v>
      </c>
      <c r="C167" s="79">
        <v>44289.38644558158</v>
      </c>
      <c r="G167" s="2" t="s">
        <v>261</v>
      </c>
      <c r="H167" s="57">
        <v>0.19914807631682915</v>
      </c>
    </row>
    <row r="168" ht="14.4" customHeight="1" spans="2:8" x14ac:dyDescent="0.25">
      <c r="B168" s="73">
        <v>51196</v>
      </c>
      <c r="C168" s="79">
        <v>44289.38644558158</v>
      </c>
      <c r="G168" s="2" t="s">
        <v>262</v>
      </c>
      <c r="H168" s="57">
        <v>0.19914807631682915</v>
      </c>
    </row>
    <row r="169" ht="14.4" customHeight="1" spans="2:8" x14ac:dyDescent="0.25">
      <c r="B169" s="73">
        <v>51227</v>
      </c>
      <c r="C169" s="79">
        <v>44289.38644558158</v>
      </c>
      <c r="G169" s="2" t="s">
        <v>263</v>
      </c>
      <c r="H169" s="57">
        <v>0.19741686242897075</v>
      </c>
    </row>
    <row r="170" ht="14.4" customHeight="1" spans="2:8" x14ac:dyDescent="0.25">
      <c r="B170" s="73">
        <v>51257</v>
      </c>
      <c r="C170" s="79">
        <v>44293.60695989818</v>
      </c>
      <c r="G170" s="2" t="s">
        <v>264</v>
      </c>
      <c r="H170" s="57">
        <v>0.19741686242897075</v>
      </c>
    </row>
    <row r="171" ht="14.4" customHeight="1" spans="2:8" x14ac:dyDescent="0.25">
      <c r="B171" s="73">
        <v>51288</v>
      </c>
      <c r="C171" s="79">
        <v>44329.215625899444</v>
      </c>
      <c r="G171" s="2" t="s">
        <v>265</v>
      </c>
      <c r="H171" s="57">
        <v>0.19741686242897075</v>
      </c>
    </row>
    <row r="172" ht="14.4" customHeight="1" spans="2:8" x14ac:dyDescent="0.25">
      <c r="B172" s="73">
        <v>51318</v>
      </c>
      <c r="C172" s="79">
        <v>44377.26773808808</v>
      </c>
      <c r="G172" s="2" t="s">
        <v>266</v>
      </c>
      <c r="H172" s="57">
        <v>0.19741686242897075</v>
      </c>
    </row>
    <row r="173" ht="14.4" customHeight="1" spans="2:8" x14ac:dyDescent="0.25">
      <c r="B173" s="73">
        <v>51349</v>
      </c>
      <c r="C173" s="79">
        <v>44377.389112356</v>
      </c>
      <c r="G173" s="2" t="s">
        <v>267</v>
      </c>
      <c r="H173" s="57">
        <v>0.19568487907778193</v>
      </c>
    </row>
    <row r="174" ht="14.4" customHeight="1" spans="2:8" x14ac:dyDescent="0.25">
      <c r="B174" s="73">
        <v>51380</v>
      </c>
      <c r="C174" s="79">
        <v>44390.648498807335</v>
      </c>
      <c r="G174" s="2" t="s">
        <v>268</v>
      </c>
      <c r="H174" s="57">
        <v>0.19568487907778193</v>
      </c>
    </row>
    <row r="175" ht="14.4" customHeight="1" spans="2:8" x14ac:dyDescent="0.25">
      <c r="B175" s="73">
        <v>51410</v>
      </c>
      <c r="C175" s="79">
        <v>44394.973836355326</v>
      </c>
      <c r="G175" s="2" t="s">
        <v>269</v>
      </c>
      <c r="H175" s="57">
        <v>0.19568487907778193</v>
      </c>
    </row>
    <row r="176" ht="14.4" customHeight="1" spans="2:8" x14ac:dyDescent="0.25">
      <c r="B176" s="73">
        <v>51441</v>
      </c>
      <c r="C176" s="79">
        <v>44408.36178590864</v>
      </c>
      <c r="G176" s="2" t="s">
        <v>270</v>
      </c>
      <c r="H176" s="57">
        <v>0.19568487907778193</v>
      </c>
    </row>
    <row r="177" ht="14.4" customHeight="1" spans="2:8" x14ac:dyDescent="0.25">
      <c r="B177" s="73">
        <v>51471</v>
      </c>
      <c r="C177" s="79">
        <v>44429.39999234956</v>
      </c>
      <c r="G177" s="2" t="s">
        <v>271</v>
      </c>
      <c r="H177" s="57">
        <v>0.19395289572659308</v>
      </c>
    </row>
    <row r="178" ht="14.4" customHeight="1" spans="2:8" x14ac:dyDescent="0.25">
      <c r="B178" s="73">
        <v>51502</v>
      </c>
      <c r="C178" s="79">
        <v>44429.39999234956</v>
      </c>
      <c r="G178" s="2" t="s">
        <v>272</v>
      </c>
      <c r="H178" s="57">
        <v>0.19395289572659308</v>
      </c>
    </row>
    <row r="179" ht="14.4" customHeight="1" spans="2:8" x14ac:dyDescent="0.25">
      <c r="B179" s="73">
        <v>51533</v>
      </c>
      <c r="C179" s="79">
        <v>44436.95905515363</v>
      </c>
      <c r="G179" s="2" t="s">
        <v>273</v>
      </c>
      <c r="H179" s="57">
        <v>0.19395289572659308</v>
      </c>
    </row>
    <row r="180" ht="14.4" customHeight="1" spans="2:8" x14ac:dyDescent="0.25">
      <c r="B180" s="73">
        <v>51561</v>
      </c>
      <c r="C180" s="79">
        <v>44436.95905515363</v>
      </c>
      <c r="G180" s="2" t="s">
        <v>274</v>
      </c>
      <c r="H180" s="57">
        <v>0.19395289572659308</v>
      </c>
    </row>
    <row r="181" ht="14.4" customHeight="1" spans="2:8" x14ac:dyDescent="0.25">
      <c r="B181" s="73">
        <v>51592</v>
      </c>
      <c r="C181" s="79">
        <v>44436.95905515363</v>
      </c>
      <c r="G181" s="2" t="s">
        <v>275</v>
      </c>
      <c r="H181" s="57">
        <v>0.1922216818387347</v>
      </c>
    </row>
    <row r="182" ht="14.4" customHeight="1" spans="2:8" x14ac:dyDescent="0.25">
      <c r="B182" s="73">
        <v>51622</v>
      </c>
      <c r="C182" s="79">
        <v>44441.072389191984</v>
      </c>
      <c r="G182" s="2" t="s">
        <v>276</v>
      </c>
      <c r="H182" s="57">
        <v>0.1922216818387347</v>
      </c>
    </row>
    <row r="183" ht="14.4" customHeight="1" spans="2:8" x14ac:dyDescent="0.25">
      <c r="B183" s="73">
        <v>51653</v>
      </c>
      <c r="C183" s="79">
        <v>44475.77677044406</v>
      </c>
      <c r="G183" s="2" t="s">
        <v>277</v>
      </c>
      <c r="H183" s="57">
        <v>0.1922216818387347</v>
      </c>
    </row>
    <row r="184" ht="14.4" customHeight="1" spans="2:8" x14ac:dyDescent="0.25">
      <c r="B184" s="73">
        <v>51683</v>
      </c>
      <c r="C184" s="79">
        <v>44522.60859563244</v>
      </c>
      <c r="G184" s="2" t="s">
        <v>278</v>
      </c>
      <c r="H184" s="57">
        <v>0.1922216818387347</v>
      </c>
    </row>
    <row r="185" ht="14.4" customHeight="1" spans="2:8" x14ac:dyDescent="0.25">
      <c r="B185" s="73">
        <v>51714</v>
      </c>
      <c r="C185" s="79">
        <v>44522.726887591714</v>
      </c>
      <c r="G185" s="2" t="s">
        <v>279</v>
      </c>
      <c r="H185" s="57">
        <v>0.1922216818387347</v>
      </c>
    </row>
    <row r="186" ht="14.4" customHeight="1" spans="2:8" x14ac:dyDescent="0.25">
      <c r="B186" s="73">
        <v>51745</v>
      </c>
      <c r="C186" s="79">
        <v>44535.64955092764</v>
      </c>
      <c r="G186" s="2" t="s">
        <v>280</v>
      </c>
      <c r="H186" s="57">
        <v>0.19048969848754585</v>
      </c>
    </row>
    <row r="187" ht="14.4" customHeight="1" spans="2:8" x14ac:dyDescent="0.25">
      <c r="B187" s="73">
        <v>51775</v>
      </c>
      <c r="C187" s="79">
        <v>44539.865046203544</v>
      </c>
      <c r="G187" s="2" t="s">
        <v>281</v>
      </c>
      <c r="H187" s="57">
        <v>0.19048969848754585</v>
      </c>
    </row>
    <row r="188" ht="14.4" customHeight="1" spans="2:8" x14ac:dyDescent="0.25">
      <c r="B188" s="73">
        <v>51806</v>
      </c>
      <c r="C188" s="79">
        <v>44552.91300777181</v>
      </c>
      <c r="G188" s="2" t="s">
        <v>282</v>
      </c>
      <c r="H188" s="57">
        <v>0.19048969848754585</v>
      </c>
    </row>
    <row r="189" ht="14.4" customHeight="1" spans="2:8" x14ac:dyDescent="0.25">
      <c r="B189" s="73">
        <v>51836</v>
      </c>
      <c r="C189" s="79">
        <v>44573.41694737909</v>
      </c>
      <c r="G189" s="2" t="s">
        <v>283</v>
      </c>
      <c r="H189" s="57">
        <v>0.19048969848754585</v>
      </c>
    </row>
    <row r="190" ht="14.4" customHeight="1" spans="7:8" x14ac:dyDescent="0.25">
      <c r="G190" s="2" t="s">
        <v>284</v>
      </c>
      <c r="H190" s="57">
        <v>0.188757715136357</v>
      </c>
    </row>
    <row r="191" ht="14.4" customHeight="1" spans="7:8" x14ac:dyDescent="0.25">
      <c r="G191" s="2" t="s">
        <v>285</v>
      </c>
      <c r="H191" s="57">
        <v>0.188757715136357</v>
      </c>
    </row>
    <row r="192" ht="14.4" customHeight="1" spans="7:8" x14ac:dyDescent="0.25">
      <c r="G192" s="2" t="s">
        <v>286</v>
      </c>
      <c r="H192" s="57">
        <v>0.188757715136357</v>
      </c>
    </row>
    <row r="193" ht="14.4" customHeight="1" spans="7:8" x14ac:dyDescent="0.25">
      <c r="G193" s="2" t="s">
        <v>287</v>
      </c>
      <c r="H193" s="57">
        <v>0.188757715136357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 zoomScale="100" zoomScaleNormal="100"/>
  </sheetViews>
  <sheetFormatPr defaultRowHeight="14.4" outlineLevelRow="0" outlineLevelCol="0" x14ac:dyDescent="0.3" customHeight="1"/>
  <cols>
    <col min="1" max="1" width="14" customWidth="1"/>
    <col min="2" max="2" width="24" customWidth="1"/>
    <col min="3" max="7" width="16" customWidth="1"/>
  </cols>
  <sheetData>
    <row r="1" ht="28.05" customHeight="1" spans="1:7" x14ac:dyDescent="0.25">
      <c r="A1" s="85" t="s">
        <v>304</v>
      </c>
      <c r="B1" s="85"/>
      <c r="C1" s="85"/>
      <c r="D1" s="85"/>
      <c r="E1" s="85"/>
      <c r="F1" s="85"/>
      <c r="G1" s="85"/>
    </row>
    <row r="2" spans="1:7" x14ac:dyDescent="0.25">
      <c r="A2" s="86" t="s">
        <v>305</v>
      </c>
      <c r="B2" s="86"/>
      <c r="C2" s="86"/>
      <c r="D2" s="86"/>
      <c r="E2" s="86"/>
      <c r="F2" s="86"/>
      <c r="G2" s="86"/>
    </row>
    <row r="3" ht="34.05" customHeight="1" spans="1:7" x14ac:dyDescent="0.25">
      <c r="A3" s="87" t="s">
        <v>58</v>
      </c>
      <c r="B3" s="87" t="s">
        <v>306</v>
      </c>
      <c r="C3" s="87" t="s">
        <v>307</v>
      </c>
      <c r="D3" s="87" t="s">
        <v>308</v>
      </c>
      <c r="E3" s="87" t="s">
        <v>309</v>
      </c>
      <c r="F3" s="87" t="s">
        <v>310</v>
      </c>
      <c r="G3" s="87" t="s">
        <v>311</v>
      </c>
    </row>
    <row r="4" ht="19.95" customHeight="1" spans="1:7" x14ac:dyDescent="0.25">
      <c r="A4" s="88">
        <v>45658</v>
      </c>
      <c r="B4" s="89">
        <v>0.9</v>
      </c>
      <c r="C4" s="90">
        <v>0.46</v>
      </c>
      <c r="D4" s="90">
        <v>0.18</v>
      </c>
      <c r="E4" s="90">
        <v>0.24</v>
      </c>
      <c r="F4" s="90">
        <v>0.12</v>
      </c>
      <c r="G4" s="90">
        <v>0</v>
      </c>
    </row>
    <row r="5" ht="19.95" customHeight="1" spans="1:7" x14ac:dyDescent="0.25">
      <c r="A5" s="88">
        <v>45689</v>
      </c>
      <c r="B5" s="89">
        <v>0.91</v>
      </c>
      <c r="C5" s="90">
        <v>0.4567</v>
      </c>
      <c r="D5" s="90">
        <v>0.18</v>
      </c>
      <c r="E5" s="90">
        <v>0.24</v>
      </c>
      <c r="F5" s="90">
        <v>0.1233</v>
      </c>
      <c r="G5" s="90">
        <v>0</v>
      </c>
    </row>
    <row r="6" ht="19.95" customHeight="1" spans="1:7" x14ac:dyDescent="0.25">
      <c r="A6" s="88">
        <v>45717</v>
      </c>
      <c r="B6" s="89">
        <v>0.92</v>
      </c>
      <c r="C6" s="90">
        <v>0.4533</v>
      </c>
      <c r="D6" s="90">
        <v>0.18</v>
      </c>
      <c r="E6" s="90">
        <v>0.24</v>
      </c>
      <c r="F6" s="90">
        <v>0.1267</v>
      </c>
      <c r="G6" s="90">
        <v>0</v>
      </c>
    </row>
    <row r="7" ht="19.95" customHeight="1" spans="1:7" x14ac:dyDescent="0.25">
      <c r="A7" s="88">
        <v>45748</v>
      </c>
      <c r="B7" s="89">
        <v>0.93</v>
      </c>
      <c r="C7" s="90">
        <v>0.45</v>
      </c>
      <c r="D7" s="90">
        <v>0.18</v>
      </c>
      <c r="E7" s="90">
        <v>0.24</v>
      </c>
      <c r="F7" s="90">
        <v>0.13</v>
      </c>
      <c r="G7" s="90">
        <v>0</v>
      </c>
    </row>
    <row r="8" ht="19.95" customHeight="1" spans="1:7" x14ac:dyDescent="0.25">
      <c r="A8" s="88">
        <v>45778</v>
      </c>
      <c r="B8" s="89">
        <v>0.94</v>
      </c>
      <c r="C8" s="90">
        <v>0.44670000000000004</v>
      </c>
      <c r="D8" s="90">
        <v>0.17670000000000002</v>
      </c>
      <c r="E8" s="90">
        <v>0.2433</v>
      </c>
      <c r="F8" s="90">
        <v>0.1333</v>
      </c>
      <c r="G8" s="90">
        <v>0</v>
      </c>
    </row>
    <row r="9" ht="19.95" customHeight="1" spans="1:7" x14ac:dyDescent="0.25">
      <c r="A9" s="88">
        <v>45809</v>
      </c>
      <c r="B9" s="89">
        <v>0.95</v>
      </c>
      <c r="C9" s="90">
        <v>0.44329999999999997</v>
      </c>
      <c r="D9" s="90">
        <v>0.17329999999999998</v>
      </c>
      <c r="E9" s="90">
        <v>0.24670000000000003</v>
      </c>
      <c r="F9" s="90">
        <v>0.1367</v>
      </c>
      <c r="G9" s="90">
        <v>0</v>
      </c>
    </row>
    <row r="10" ht="19.95" customHeight="1" spans="1:7" x14ac:dyDescent="0.25">
      <c r="A10" s="88">
        <v>45839</v>
      </c>
      <c r="B10" s="89">
        <v>0.96</v>
      </c>
      <c r="C10" s="90">
        <v>0.44</v>
      </c>
      <c r="D10" s="90">
        <v>0.17</v>
      </c>
      <c r="E10" s="90">
        <v>0.25</v>
      </c>
      <c r="F10" s="90">
        <v>0.14</v>
      </c>
      <c r="G10" s="90">
        <v>0</v>
      </c>
    </row>
    <row r="11" ht="19.95" customHeight="1" spans="1:7" x14ac:dyDescent="0.25">
      <c r="A11" s="88">
        <v>45870</v>
      </c>
      <c r="B11" s="89">
        <v>0.97</v>
      </c>
      <c r="C11" s="90">
        <v>0.43670000000000003</v>
      </c>
      <c r="D11" s="90">
        <v>0.17</v>
      </c>
      <c r="E11" s="90">
        <v>0.25</v>
      </c>
      <c r="F11" s="90">
        <v>0.1433</v>
      </c>
      <c r="G11" s="90">
        <v>0</v>
      </c>
    </row>
    <row r="12" ht="19.95" customHeight="1" spans="1:7" x14ac:dyDescent="0.25">
      <c r="A12" s="88">
        <v>45901</v>
      </c>
      <c r="B12" s="89">
        <v>0.98</v>
      </c>
      <c r="C12" s="90">
        <v>0.43329999999999996</v>
      </c>
      <c r="D12" s="90">
        <v>0.17</v>
      </c>
      <c r="E12" s="90">
        <v>0.25</v>
      </c>
      <c r="F12" s="90">
        <v>0.1467</v>
      </c>
      <c r="G12" s="90">
        <v>0</v>
      </c>
    </row>
    <row r="13" ht="19.95" customHeight="1" spans="1:7" x14ac:dyDescent="0.25">
      <c r="A13" s="88">
        <v>45931</v>
      </c>
      <c r="B13" s="89">
        <v>0.99</v>
      </c>
      <c r="C13" s="90">
        <v>0.43</v>
      </c>
      <c r="D13" s="90">
        <v>0.17</v>
      </c>
      <c r="E13" s="90">
        <v>0.25</v>
      </c>
      <c r="F13" s="90">
        <v>0.15</v>
      </c>
      <c r="G13" s="90">
        <v>0</v>
      </c>
    </row>
    <row r="14" ht="19.95" customHeight="1" spans="1:7" x14ac:dyDescent="0.25">
      <c r="A14" s="88">
        <v>45962</v>
      </c>
      <c r="B14" s="89">
        <v>1</v>
      </c>
      <c r="C14" s="90">
        <v>0.4267</v>
      </c>
      <c r="D14" s="90">
        <v>0.16670000000000001</v>
      </c>
      <c r="E14" s="90">
        <v>0.25329999999999997</v>
      </c>
      <c r="F14" s="90">
        <v>0.1533</v>
      </c>
      <c r="G14" s="90">
        <v>0</v>
      </c>
    </row>
    <row r="15" ht="19.95" customHeight="1" spans="1:7" x14ac:dyDescent="0.25">
      <c r="A15" s="88">
        <v>45992</v>
      </c>
      <c r="B15" s="89">
        <v>1.01</v>
      </c>
      <c r="C15" s="90">
        <v>0.4233</v>
      </c>
      <c r="D15" s="90">
        <v>0.16329999999999997</v>
      </c>
      <c r="E15" s="90">
        <v>0.25670000000000004</v>
      </c>
      <c r="F15" s="90">
        <v>0.1567</v>
      </c>
      <c r="G15" s="90">
        <v>0</v>
      </c>
    </row>
    <row r="16" ht="19.95" customHeight="1" spans="1:7" x14ac:dyDescent="0.25">
      <c r="A16" s="88">
        <v>46023</v>
      </c>
      <c r="B16" s="89">
        <v>1.02</v>
      </c>
      <c r="C16" s="90">
        <v>0.42</v>
      </c>
      <c r="D16" s="90">
        <v>0.16</v>
      </c>
      <c r="E16" s="90">
        <v>0.26</v>
      </c>
      <c r="F16" s="90">
        <v>0.16</v>
      </c>
      <c r="G16" s="90">
        <v>0</v>
      </c>
    </row>
    <row r="17" ht="19.95" customHeight="1" spans="1:7" x14ac:dyDescent="0.25">
      <c r="A17" s="88">
        <v>46054</v>
      </c>
      <c r="B17" s="89">
        <v>1.03</v>
      </c>
      <c r="C17" s="90">
        <v>0.41</v>
      </c>
      <c r="D17" s="90">
        <v>0.1567</v>
      </c>
      <c r="E17" s="90">
        <v>0.26</v>
      </c>
      <c r="F17" s="90">
        <v>0.16329999999999997</v>
      </c>
      <c r="G17" s="90">
        <v>0</v>
      </c>
    </row>
    <row r="18" ht="19.95" customHeight="1" spans="1:7" x14ac:dyDescent="0.25">
      <c r="A18" s="88">
        <v>46082</v>
      </c>
      <c r="B18" s="89">
        <v>1.04</v>
      </c>
      <c r="C18" s="90">
        <v>0.4</v>
      </c>
      <c r="D18" s="90">
        <v>0.1533</v>
      </c>
      <c r="E18" s="90">
        <v>0.26</v>
      </c>
      <c r="F18" s="90">
        <v>0.16670000000000001</v>
      </c>
      <c r="G18" s="90">
        <v>0</v>
      </c>
    </row>
    <row r="19" ht="19.95" customHeight="1" spans="1:7" x14ac:dyDescent="0.25">
      <c r="A19" s="88">
        <v>46113</v>
      </c>
      <c r="B19" s="89">
        <v>1.05</v>
      </c>
      <c r="C19" s="90">
        <v>0.39</v>
      </c>
      <c r="D19" s="90">
        <v>0.15</v>
      </c>
      <c r="E19" s="90">
        <v>0.26</v>
      </c>
      <c r="F19" s="90">
        <v>0.17</v>
      </c>
      <c r="G19" s="90">
        <v>0</v>
      </c>
    </row>
    <row r="20" ht="19.95" customHeight="1" spans="1:7" x14ac:dyDescent="0.25">
      <c r="A20" s="88">
        <v>46143</v>
      </c>
      <c r="B20" s="89">
        <v>1.06</v>
      </c>
      <c r="C20" s="90">
        <v>0.3833</v>
      </c>
      <c r="D20" s="90">
        <v>0.1467</v>
      </c>
      <c r="E20" s="90">
        <v>0.25670000000000004</v>
      </c>
      <c r="F20" s="90">
        <v>0.17</v>
      </c>
      <c r="G20" s="90">
        <v>0</v>
      </c>
    </row>
    <row r="21" ht="19.95" customHeight="1" spans="1:7" x14ac:dyDescent="0.25">
      <c r="A21" s="88">
        <v>46174</v>
      </c>
      <c r="B21" s="89">
        <v>1.07</v>
      </c>
      <c r="C21" s="90">
        <v>0.3767</v>
      </c>
      <c r="D21" s="90">
        <v>0.1433</v>
      </c>
      <c r="E21" s="90">
        <v>0.25329999999999997</v>
      </c>
      <c r="F21" s="90">
        <v>0.17</v>
      </c>
      <c r="G21" s="90">
        <v>0</v>
      </c>
    </row>
    <row r="22" ht="19.95" customHeight="1" spans="1:7" x14ac:dyDescent="0.25">
      <c r="A22" s="88">
        <v>46204</v>
      </c>
      <c r="B22" s="89">
        <v>1.08</v>
      </c>
      <c r="C22" s="90">
        <v>0.37</v>
      </c>
      <c r="D22" s="90">
        <v>0.14</v>
      </c>
      <c r="E22" s="90">
        <v>0.25</v>
      </c>
      <c r="F22" s="90">
        <v>0.17</v>
      </c>
      <c r="G22" s="90">
        <v>0.07</v>
      </c>
    </row>
    <row r="23" ht="19.95" customHeight="1" spans="1:7" x14ac:dyDescent="0.25">
      <c r="A23" s="88">
        <v>46235</v>
      </c>
      <c r="B23" s="89">
        <v>1.09</v>
      </c>
      <c r="C23" s="90">
        <v>0.3599</v>
      </c>
      <c r="D23" s="90">
        <v>0.1367</v>
      </c>
      <c r="E23" s="90">
        <v>0.24670000000000003</v>
      </c>
      <c r="F23" s="90">
        <v>0.17</v>
      </c>
      <c r="G23" s="90">
        <v>0.0867</v>
      </c>
    </row>
    <row r="24" ht="19.95" customHeight="1" spans="1:7" x14ac:dyDescent="0.25">
      <c r="A24" s="88">
        <v>46266</v>
      </c>
      <c r="B24" s="89">
        <v>1.1</v>
      </c>
      <c r="C24" s="90">
        <v>0.3501</v>
      </c>
      <c r="D24" s="90">
        <v>0.1333</v>
      </c>
      <c r="E24" s="90">
        <v>0.2433</v>
      </c>
      <c r="F24" s="90">
        <v>0.17</v>
      </c>
      <c r="G24" s="90">
        <v>0.1033</v>
      </c>
    </row>
    <row r="25" ht="19.95" customHeight="1" spans="1:7" x14ac:dyDescent="0.25">
      <c r="A25" s="88">
        <v>46296</v>
      </c>
      <c r="B25" s="89">
        <v>1.11</v>
      </c>
      <c r="C25" s="90">
        <v>0.34</v>
      </c>
      <c r="D25" s="90">
        <v>0.13</v>
      </c>
      <c r="E25" s="90">
        <v>0.24</v>
      </c>
      <c r="F25" s="90">
        <v>0.17</v>
      </c>
      <c r="G25" s="90">
        <v>0.12</v>
      </c>
    </row>
    <row r="26" ht="19.95" customHeight="1" spans="1:7" x14ac:dyDescent="0.25">
      <c r="A26" s="88">
        <v>46327</v>
      </c>
      <c r="B26" s="89">
        <v>1.11</v>
      </c>
      <c r="C26" s="90">
        <v>0.34</v>
      </c>
      <c r="D26" s="90">
        <v>0.13</v>
      </c>
      <c r="E26" s="90">
        <v>0.24</v>
      </c>
      <c r="F26" s="90">
        <v>0.17</v>
      </c>
      <c r="G26" s="90">
        <v>0.12</v>
      </c>
    </row>
    <row r="27" ht="19.95" customHeight="1" spans="1:7" x14ac:dyDescent="0.25">
      <c r="A27" s="88">
        <v>46357</v>
      </c>
      <c r="B27" s="89">
        <v>1.11</v>
      </c>
      <c r="C27" s="90">
        <v>0.34</v>
      </c>
      <c r="D27" s="90">
        <v>0.13</v>
      </c>
      <c r="E27" s="90">
        <v>0.24</v>
      </c>
      <c r="F27" s="90">
        <v>0.17</v>
      </c>
      <c r="G27" s="90">
        <v>0.12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 showGridLines="0" zoomScale="100" zoomScaleNormal="100">
      <selection activeCell="C7" sqref="C7"/>
    </sheetView>
  </sheetViews>
  <sheetFormatPr defaultRowHeight="14.4" outlineLevelRow="0" outlineLevelCol="0" x14ac:dyDescent="0.3" customHeight="1"/>
  <cols>
    <col min="1" max="1" width="22" customWidth="1"/>
    <col min="2" max="3" width="18" customWidth="1"/>
  </cols>
  <sheetData>
    <row r="1" ht="28.05" customHeight="1" spans="1:3" x14ac:dyDescent="0.25">
      <c r="A1" s="85" t="s">
        <v>312</v>
      </c>
      <c r="B1" s="85"/>
      <c r="C1" s="85"/>
    </row>
    <row r="2" spans="1:3" x14ac:dyDescent="0.25">
      <c r="A2" s="86" t="s">
        <v>313</v>
      </c>
      <c r="B2" s="86"/>
      <c r="C2" s="86"/>
    </row>
    <row r="3" ht="34.05" customHeight="1" spans="1:3" x14ac:dyDescent="0.25">
      <c r="A3" s="87" t="s">
        <v>314</v>
      </c>
      <c r="B3" s="87" t="s">
        <v>315</v>
      </c>
      <c r="C3" s="87" t="s">
        <v>316</v>
      </c>
    </row>
    <row r="4" ht="19.95" customHeight="1" spans="1:3" x14ac:dyDescent="0.25">
      <c r="A4" s="91" t="s">
        <v>317</v>
      </c>
      <c r="B4" s="92">
        <v>3200</v>
      </c>
      <c r="C4" s="93">
        <v>9.2</v>
      </c>
    </row>
    <row r="5" ht="19.95" customHeight="1" spans="1:3" x14ac:dyDescent="0.25">
      <c r="A5" s="91" t="s">
        <v>318</v>
      </c>
      <c r="B5" s="92">
        <v>2600</v>
      </c>
      <c r="C5" s="93">
        <v>6.1</v>
      </c>
    </row>
    <row r="6" ht="19.95" customHeight="1" spans="1:3" x14ac:dyDescent="0.25">
      <c r="A6" s="91" t="s">
        <v>319</v>
      </c>
      <c r="B6" s="92">
        <v>900</v>
      </c>
      <c r="C6" s="93">
        <v>3.4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showGridLines="0" zoomScale="100" zoomScaleNormal="100">
      <selection activeCell="B9" sqref="B9"/>
    </sheetView>
  </sheetViews>
  <sheetFormatPr defaultRowHeight="14.4" outlineLevelRow="0" outlineLevelCol="0" x14ac:dyDescent="0.3" customHeight="1"/>
  <cols>
    <col min="1" max="3" width="14" customWidth="1"/>
    <col min="4" max="4" width="24" customWidth="1"/>
  </cols>
  <sheetData>
    <row r="1" ht="28.05" customHeight="1" spans="1:4" x14ac:dyDescent="0.25">
      <c r="A1" s="85" t="s">
        <v>320</v>
      </c>
      <c r="B1" s="85"/>
      <c r="C1" s="85"/>
      <c r="D1" s="85"/>
    </row>
    <row r="2" spans="1:4" x14ac:dyDescent="0.25">
      <c r="A2" s="86" t="s">
        <v>321</v>
      </c>
      <c r="B2" s="86"/>
      <c r="C2" s="86"/>
      <c r="D2" s="86"/>
    </row>
    <row r="3" ht="34.05" customHeight="1" spans="1:4" x14ac:dyDescent="0.25">
      <c r="A3" s="87" t="s">
        <v>58</v>
      </c>
      <c r="B3" s="87" t="s">
        <v>1</v>
      </c>
      <c r="C3" s="87" t="s">
        <v>2</v>
      </c>
      <c r="D3" s="87" t="s">
        <v>294</v>
      </c>
    </row>
    <row r="4" ht="19.95" customHeight="1" spans="1:4" x14ac:dyDescent="0.25">
      <c r="A4" s="88">
        <v>46204</v>
      </c>
      <c r="B4" s="94">
        <v>0.8</v>
      </c>
      <c r="C4" s="94">
        <v>0.79</v>
      </c>
      <c r="D4" s="91" t="s">
        <v>322</v>
      </c>
    </row>
    <row r="5" ht="19.95" customHeight="1" spans="1:4" x14ac:dyDescent="0.25">
      <c r="A5" s="88">
        <v>46235</v>
      </c>
      <c r="B5" s="94">
        <v>0.8</v>
      </c>
      <c r="C5" s="94">
        <v>0.8</v>
      </c>
      <c r="D5" s="91" t="s">
        <v>322</v>
      </c>
    </row>
    <row r="6" ht="19.95" customHeight="1" spans="1:4" x14ac:dyDescent="0.25">
      <c r="A6" s="88">
        <v>46266</v>
      </c>
      <c r="B6" s="94">
        <v>0.8</v>
      </c>
      <c r="C6" s="94">
        <v>0.81</v>
      </c>
      <c r="D6" s="91" t="s">
        <v>322</v>
      </c>
    </row>
    <row r="7" ht="19.95" customHeight="1" spans="1:4" x14ac:dyDescent="0.25">
      <c r="A7" s="88">
        <v>46296</v>
      </c>
      <c r="B7" s="94">
        <v>0.8</v>
      </c>
      <c r="C7" s="94">
        <v>0.82</v>
      </c>
      <c r="D7" s="91" t="s">
        <v>322</v>
      </c>
    </row>
    <row r="8" ht="19.95" customHeight="1" spans="1:4" x14ac:dyDescent="0.25">
      <c r="A8" s="88">
        <v>46327</v>
      </c>
      <c r="B8" s="94">
        <v>0.8</v>
      </c>
      <c r="C8" s="94">
        <v>0.82</v>
      </c>
      <c r="D8" s="91" t="s">
        <v>322</v>
      </c>
    </row>
    <row r="9" ht="19.95" customHeight="1" spans="1:4" x14ac:dyDescent="0.25">
      <c r="A9" s="88">
        <v>46357</v>
      </c>
      <c r="B9" s="94">
        <v>0.8</v>
      </c>
      <c r="C9" s="94">
        <v>0.83</v>
      </c>
      <c r="D9" s="91" t="s">
        <v>322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Market growth</vt:lpstr>
      <vt:lpstr>Patient split</vt:lpstr>
      <vt:lpstr>Product Uptake</vt:lpstr>
      <vt:lpstr>Source of Liphendra starts</vt:lpstr>
      <vt:lpstr>Liphendra NPS and Persistency</vt:lpstr>
      <vt:lpstr>Assumption Monitor</vt:lpstr>
      <vt:lpstr>LLT Product Mix</vt:lpstr>
      <vt:lpstr>Prescriber Breadth Depth</vt:lpstr>
      <vt:lpstr>Compliance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2026-09-04T07:32:51Z</dcterms:created>
  <dcterms:modified xsi:type="dcterms:W3CDTF">2026-09-08T10:27:25Z</dcterms:modified>
</cp:coreProperties>
</file>