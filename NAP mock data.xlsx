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filterPrivacy="1"/>
  <xr:revisionPtr revIDLastSave="0" documentId="13_ncr:1_{EB25A1BC-D18D-419C-AA3F-EF60F349B971}" xr6:coauthVersionLast="47" xr6:coauthVersionMax="47" xr10:uidLastSave="{00000000-0000-0000-0000-000000000000}"/>
  <bookViews>
    <workbookView xWindow="-108" yWindow="-108" windowWidth="23256" windowHeight="13896" firstSheet="2" activeTab="5" xr2:uid="{00000000-000D-0000-FFFF-FFFF00000000}"/>
  </bookViews>
  <sheets>
    <sheet name="Market growth" sheetId="1" r:id="rId1"/>
    <sheet name="Patient split" sheetId="2" r:id="rId2"/>
    <sheet name="Product Uptake" sheetId="5" r:id="rId3"/>
    <sheet name="Source of Liphendra starts" sheetId="3" r:id="rId4"/>
    <sheet name="Liphendra NPS and Persistency" sheetId="6" r:id="rId5"/>
    <sheet name="Assumption Monitor" sheetId="4" r:id="rId6"/>
    <sheet name="LLT Product Mix" sheetId="7" r:id="rId7"/>
    <sheet name="Prescriber Breadth Depth" sheetId="8" r:id="rId8"/>
    <sheet name="Complianc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6" l="1"/>
  <c r="D27" i="2"/>
  <c r="C27" i="2"/>
  <c r="H26" i="2"/>
  <c r="I13" i="2" s="1"/>
  <c r="D26" i="2"/>
  <c r="H25" i="2"/>
  <c r="I24" i="2" s="1"/>
  <c r="I22" i="2"/>
  <c r="I21" i="2"/>
  <c r="I19" i="2"/>
  <c r="I18" i="2"/>
  <c r="I16" i="2"/>
  <c r="C7" i="2"/>
  <c r="C6" i="2"/>
  <c r="C5" i="2"/>
  <c r="B6" i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5" i="1"/>
  <c r="I14" i="2" l="1"/>
  <c r="I25" i="2"/>
  <c r="I15" i="2"/>
  <c r="I17" i="2"/>
  <c r="I26" i="2"/>
  <c r="I20" i="2"/>
  <c r="D4" i="6"/>
  <c r="D5" i="6"/>
  <c r="I23" i="2"/>
  <c r="D6" i="6"/>
  <c r="D7" i="6"/>
  <c r="D8" i="6"/>
</calcChain>
</file>

<file path=xl/sharedStrings.xml><?xml version="1.0" encoding="utf-8"?>
<sst xmlns="http://schemas.openxmlformats.org/spreadsheetml/2006/main" count="349" uniqueCount="323">
  <si>
    <t>Year</t>
  </si>
  <si>
    <t>Forecast</t>
  </si>
  <si>
    <t>Actuals</t>
  </si>
  <si>
    <t>Use Case, let's say forecast was made with data available thru end of 2025 but when showing actuals, we have another 6 month</t>
  </si>
  <si>
    <t>of date thru Jun'26. These latest 6 months look very promosing, so that can alter how we think about market growth</t>
  </si>
  <si>
    <t>previous data points (end of 2025) in the forecast suggested CAGR of 1.6% but now with additional data points, it's expected to be</t>
  </si>
  <si>
    <t>2.1%. The deviation that will cause in the LLT market is what we're trying to showcase.</t>
  </si>
  <si>
    <t>Impact of recent deviations in how we think market will expand</t>
  </si>
  <si>
    <t>Table 1</t>
  </si>
  <si>
    <t>Major Patient Segment</t>
  </si>
  <si>
    <t>Current forecast distribution</t>
  </si>
  <si>
    <t>ASCVD</t>
  </si>
  <si>
    <t>Diabetes without ASCVD</t>
  </si>
  <si>
    <t>No ASCVD / Diabetes</t>
  </si>
  <si>
    <t>Table 2</t>
  </si>
  <si>
    <t>Source: Hybrid approach _data requirement_vf.02 (Forian Data - Qral Outputs)</t>
  </si>
  <si>
    <t>Patient Segment</t>
  </si>
  <si>
    <t>Patient Split - Forecast</t>
  </si>
  <si>
    <t>Patient Split - Lates based on claims</t>
  </si>
  <si>
    <t>ASCVD 21+ Points Above Goal | Max Dose Statin and/or Combo Therapy</t>
  </si>
  <si>
    <t>1D
——
Inadequately Treated (Max Tolerated Statin)
21+ pts above goal</t>
  </si>
  <si>
    <t>ASCVD at Goal</t>
  </si>
  <si>
    <t>1F
——
 Any Treatment
At goal (≤5)</t>
  </si>
  <si>
    <t>ASCVD 21+ Points Above Goal | Intolerant/Unwilling to Use Statins</t>
  </si>
  <si>
    <t>1B
——
Statin Intolerant / Unwilling
21+ pts above goal</t>
  </si>
  <si>
    <t>ASCVD 6-20 Points Above Goal| Intolerant/Unwilling to Use Statins</t>
  </si>
  <si>
    <t>1A
——
Statin Intolerant / Unwilling
6–20 pts above goal</t>
  </si>
  <si>
    <t>ASCVD 6-20 Points Above Goal | Max Dose Statin and/or Combo Therapy</t>
  </si>
  <si>
    <t>1C
——
Inadequately Treated (Max Tolerated Statin)
6–20 pts above goal</t>
  </si>
  <si>
    <t>ASCVD | Statin Only Treatment</t>
  </si>
  <si>
    <t>1E
——
No treatment beyond statin needed
6+ pts above goal</t>
  </si>
  <si>
    <t>PP w/T2D 21+ Points Above Goal | Max Dose Statin and/or Combo Therapy</t>
  </si>
  <si>
    <t>2D
——
Inadequately Treated (Max Tolerated Statin)
21+ pts above goal</t>
  </si>
  <si>
    <t>PP w/T2D 6-20 Points Above Goal | Max Dose Statin and/or Combo Therapy</t>
  </si>
  <si>
    <t>2C
——
Inadequately Treated (Max Tolerated Statin)
6–20 pts above goal</t>
  </si>
  <si>
    <t>PP w/T2D at Goal</t>
  </si>
  <si>
    <t>2F
——
 Any Treatment
At goal (≤5)</t>
  </si>
  <si>
    <t>PP w/T2D 6-20 Points Above Goal | Intolerant/Unwilling to Use Statins</t>
  </si>
  <si>
    <t>2B
——
Statin Intolerant / Unwilling
21+ pts above goal</t>
  </si>
  <si>
    <t>PP w/T2D 21+ Points Above Goal | Intolerant/Unwilling to Use Statins</t>
  </si>
  <si>
    <t>2A
——
Statin Intolerant / Unwilling
6–20 pts above goal</t>
  </si>
  <si>
    <t>PP w/T2D | Statin Only Treatment</t>
  </si>
  <si>
    <t>2E
——
No treatment beyond statin needed
6+ pts above goal</t>
  </si>
  <si>
    <t>PP without T2D - Other Risk Factors</t>
  </si>
  <si>
    <t>3 - No ASCVD/Diabetes – Other Risk Factors</t>
  </si>
  <si>
    <t>PP without T2D - No significant risk factor</t>
  </si>
  <si>
    <t>4 - No ASCVD/Diabetes –  No Significant Risk Factors</t>
  </si>
  <si>
    <t>Total - Base case</t>
  </si>
  <si>
    <t>3A
——
Statin Intolerant or Inadequate
0+ pts above goal</t>
  </si>
  <si>
    <t>3B
——
No treatment beyond statin needed 
0+ pts above goal</t>
  </si>
  <si>
    <t>3C
——
Not treated</t>
  </si>
  <si>
    <t>4
——
Statin Intolerant or Inadequate 
0+ pts above goal</t>
  </si>
  <si>
    <t>4
——
No treatment beyond statin needed
0+ pts above goal</t>
  </si>
  <si>
    <t>4
——
Statin Intolerant or Inadequate or Statin Titrated
0+ pts above goal</t>
  </si>
  <si>
    <t>1G
——
Not treated
At goal (≤5 above)</t>
  </si>
  <si>
    <t>1H
——
Not treated
6+ pts above goal</t>
  </si>
  <si>
    <t>2G
——
Not treated
At goal (≤5 above)</t>
  </si>
  <si>
    <t>2H
——
Not treated
6+ pts above goal</t>
  </si>
  <si>
    <t>Month</t>
  </si>
  <si>
    <t>Modelled Curve</t>
  </si>
  <si>
    <t>Lipfendra Uptake</t>
  </si>
  <si>
    <t>Forecast NPS Count</t>
  </si>
  <si>
    <t>Actual NPS Count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</si>
  <si>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</si>
  <si>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</si>
  <si>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</si>
  <si>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</si>
  <si>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</si>
  <si>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</si>
  <si>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</si>
  <si>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</si>
  <si>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</si>
  <si>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</si>
  <si>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</si>
  <si>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</si>
  <si>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</si>
  <si>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</si>
  <si>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</si>
  <si>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</si>
  <si>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</si>
  <si>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</si>
  <si>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</si>
  <si>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</si>
  <si>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</si>
  <si>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M28</t>
  </si>
  <si>
    <t>M29</t>
  </si>
  <si>
    <t>M30</t>
  </si>
  <si>
    <t>M31</t>
  </si>
  <si>
    <t>M32</t>
  </si>
  <si>
    <t>M33</t>
  </si>
  <si>
    <t>M34</t>
  </si>
  <si>
    <t>M35</t>
  </si>
  <si>
    <t>M36</t>
  </si>
  <si>
    <t>M37</t>
  </si>
  <si>
    <t>M38</t>
  </si>
  <si>
    <t>M39</t>
  </si>
  <si>
    <t>M40</t>
  </si>
  <si>
    <t>M41</t>
  </si>
  <si>
    <t>M42</t>
  </si>
  <si>
    <t>M43</t>
  </si>
  <si>
    <t>M44</t>
  </si>
  <si>
    <t>M45</t>
  </si>
  <si>
    <t>M46</t>
  </si>
  <si>
    <t>M47</t>
  </si>
  <si>
    <t>M48</t>
  </si>
  <si>
    <t>M49</t>
  </si>
  <si>
    <t>M50</t>
  </si>
  <si>
    <t>M51</t>
  </si>
  <si>
    <t>M52</t>
  </si>
  <si>
    <t>M53</t>
  </si>
  <si>
    <t>M54</t>
  </si>
  <si>
    <t>M55</t>
  </si>
  <si>
    <t>M56</t>
  </si>
  <si>
    <t>M57</t>
  </si>
  <si>
    <t>M58</t>
  </si>
  <si>
    <t>M59</t>
  </si>
  <si>
    <t>M60</t>
  </si>
  <si>
    <t>Newly intensified from conventional LLT</t>
  </si>
  <si>
    <t>Switch from advanced competitors</t>
  </si>
  <si>
    <t>Other/Unknown</t>
  </si>
  <si>
    <t>Active Lipfendra writers</t>
  </si>
  <si>
    <t>% Rx from top 10% writers</t>
  </si>
  <si>
    <t>% Rx from top 25% writers</t>
  </si>
  <si>
    <t>Avg. Rx per active writer</t>
  </si>
  <si>
    <t>New writers added</t>
  </si>
  <si>
    <t>Total advanced LLT patients*</t>
  </si>
  <si>
    <t>MoM growth</t>
  </si>
  <si>
    <t>Active HCP universe for advanced LLTs</t>
  </si>
  <si>
    <t>Median time to escalation</t>
  </si>
  <si>
    <t>1.00M</t>
  </si>
  <si>
    <t>—</t>
  </si>
  <si>
    <t>8.5 mo.</t>
  </si>
  <si>
    <t>1.01M</t>
  </si>
  <si>
    <t>8.4 mo.</t>
  </si>
  <si>
    <t>1.02M</t>
  </si>
  <si>
    <t>8.2 mo.</t>
  </si>
  <si>
    <t>1.04M</t>
  </si>
  <si>
    <t>8.0 mo.</t>
  </si>
  <si>
    <t>1.06M</t>
  </si>
  <si>
    <t>7.8 mo.</t>
  </si>
  <si>
    <t>1.08M</t>
  </si>
  <si>
    <t>7.6 mo.</t>
  </si>
  <si>
    <t>NPS</t>
  </si>
  <si>
    <t>Persistency</t>
  </si>
  <si>
    <t>Forecasted NPS</t>
  </si>
  <si>
    <t>Actual NPS</t>
  </si>
  <si>
    <t>New Forecast Blended Curve</t>
  </si>
  <si>
    <t>Lipfendra persitency</t>
  </si>
  <si>
    <t>M01</t>
  </si>
  <si>
    <t>M02</t>
  </si>
  <si>
    <t>M03</t>
  </si>
  <si>
    <t>M04</t>
  </si>
  <si>
    <t>M05</t>
  </si>
  <si>
    <t>M06</t>
  </si>
  <si>
    <t>M61</t>
  </si>
  <si>
    <t>M62</t>
  </si>
  <si>
    <t>M63</t>
  </si>
  <si>
    <t>M64</t>
  </si>
  <si>
    <t>M65</t>
  </si>
  <si>
    <t>M66</t>
  </si>
  <si>
    <t>M67</t>
  </si>
  <si>
    <t>M68</t>
  </si>
  <si>
    <t>M69</t>
  </si>
  <si>
    <t>M70</t>
  </si>
  <si>
    <t>M71</t>
  </si>
  <si>
    <t>M72</t>
  </si>
  <si>
    <t>M73</t>
  </si>
  <si>
    <t>M74</t>
  </si>
  <si>
    <t>M75</t>
  </si>
  <si>
    <t>M76</t>
  </si>
  <si>
    <t>M77</t>
  </si>
  <si>
    <t>M78</t>
  </si>
  <si>
    <t>M79</t>
  </si>
  <si>
    <t>M80</t>
  </si>
  <si>
    <t>M81</t>
  </si>
  <si>
    <t>M82</t>
  </si>
  <si>
    <t>M83</t>
  </si>
  <si>
    <t>M84</t>
  </si>
  <si>
    <t>M85</t>
  </si>
  <si>
    <t>M86</t>
  </si>
  <si>
    <t>M87</t>
  </si>
  <si>
    <t>M88</t>
  </si>
  <si>
    <t>M89</t>
  </si>
  <si>
    <t>M90</t>
  </si>
  <si>
    <t>M91</t>
  </si>
  <si>
    <t>M92</t>
  </si>
  <si>
    <t>M93</t>
  </si>
  <si>
    <t>M94</t>
  </si>
  <si>
    <t>M95</t>
  </si>
  <si>
    <t>M96</t>
  </si>
  <si>
    <t>M97</t>
  </si>
  <si>
    <t>M98</t>
  </si>
  <si>
    <t>M99</t>
  </si>
  <si>
    <t>M100</t>
  </si>
  <si>
    <t>M101</t>
  </si>
  <si>
    <t>M102</t>
  </si>
  <si>
    <t>M103</t>
  </si>
  <si>
    <t>M104</t>
  </si>
  <si>
    <t>M105</t>
  </si>
  <si>
    <t>M106</t>
  </si>
  <si>
    <t>M107</t>
  </si>
  <si>
    <t>M108</t>
  </si>
  <si>
    <t>M109</t>
  </si>
  <si>
    <t>M110</t>
  </si>
  <si>
    <t>M111</t>
  </si>
  <si>
    <t>M112</t>
  </si>
  <si>
    <t>M113</t>
  </si>
  <si>
    <t>M114</t>
  </si>
  <si>
    <t>M115</t>
  </si>
  <si>
    <t>M116</t>
  </si>
  <si>
    <t>M117</t>
  </si>
  <si>
    <t>M118</t>
  </si>
  <si>
    <t>M119</t>
  </si>
  <si>
    <t>M120</t>
  </si>
  <si>
    <t>M121</t>
  </si>
  <si>
    <t>M122</t>
  </si>
  <si>
    <t>M123</t>
  </si>
  <si>
    <t>M124</t>
  </si>
  <si>
    <t>M125</t>
  </si>
  <si>
    <t>M126</t>
  </si>
  <si>
    <t>M127</t>
  </si>
  <si>
    <t>M128</t>
  </si>
  <si>
    <t>M129</t>
  </si>
  <si>
    <t>M130</t>
  </si>
  <si>
    <t>M131</t>
  </si>
  <si>
    <t>M132</t>
  </si>
  <si>
    <t>M133</t>
  </si>
  <si>
    <t>M134</t>
  </si>
  <si>
    <t>M135</t>
  </si>
  <si>
    <t>M136</t>
  </si>
  <si>
    <t>M137</t>
  </si>
  <si>
    <t>M138</t>
  </si>
  <si>
    <t>M139</t>
  </si>
  <si>
    <t>M140</t>
  </si>
  <si>
    <t>M141</t>
  </si>
  <si>
    <t>M142</t>
  </si>
  <si>
    <t>M143</t>
  </si>
  <si>
    <t>M144</t>
  </si>
  <si>
    <t>M145</t>
  </si>
  <si>
    <t>M146</t>
  </si>
  <si>
    <t>M147</t>
  </si>
  <si>
    <t>M148</t>
  </si>
  <si>
    <t>M149</t>
  </si>
  <si>
    <t>M150</t>
  </si>
  <si>
    <t>M151</t>
  </si>
  <si>
    <t>M152</t>
  </si>
  <si>
    <t>M153</t>
  </si>
  <si>
    <t>M154</t>
  </si>
  <si>
    <t>M155</t>
  </si>
  <si>
    <t>M156</t>
  </si>
  <si>
    <t>M157</t>
  </si>
  <si>
    <t>M158</t>
  </si>
  <si>
    <t>M159</t>
  </si>
  <si>
    <t>M160</t>
  </si>
  <si>
    <t>M161</t>
  </si>
  <si>
    <t>M162</t>
  </si>
  <si>
    <t>M163</t>
  </si>
  <si>
    <t>M164</t>
  </si>
  <si>
    <t>M165</t>
  </si>
  <si>
    <t>M166</t>
  </si>
  <si>
    <t>M167</t>
  </si>
  <si>
    <t>M168</t>
  </si>
  <si>
    <t>M169</t>
  </si>
  <si>
    <t>M170</t>
  </si>
  <si>
    <t>M171</t>
  </si>
  <si>
    <t>M172</t>
  </si>
  <si>
    <t>M173</t>
  </si>
  <si>
    <t>M174</t>
  </si>
  <si>
    <t>M175</t>
  </si>
  <si>
    <t>M176</t>
  </si>
  <si>
    <t>M177</t>
  </si>
  <si>
    <t>M178</t>
  </si>
  <si>
    <t>M179</t>
  </si>
  <si>
    <t>M180</t>
  </si>
  <si>
    <t>M181</t>
  </si>
  <si>
    <t>M182</t>
  </si>
  <si>
    <t>M183</t>
  </si>
  <si>
    <t>M184</t>
  </si>
  <si>
    <t>M185</t>
  </si>
  <si>
    <t>M186</t>
  </si>
  <si>
    <t>M187</t>
  </si>
  <si>
    <t>M188</t>
  </si>
  <si>
    <t>M189</t>
  </si>
  <si>
    <t>M190</t>
  </si>
  <si>
    <t>Assumption</t>
  </si>
  <si>
    <t>Base Forecast</t>
  </si>
  <si>
    <t>Aug Evidence</t>
  </si>
  <si>
    <t>Oct Evidence</t>
  </si>
  <si>
    <t>Dec Evidence</t>
  </si>
  <si>
    <t>Status</t>
  </si>
  <si>
    <t>Source</t>
  </si>
  <si>
    <t>Market CAGR</t>
  </si>
  <si>
    <t>Monitor</t>
  </si>
  <si>
    <t>Forian claims</t>
  </si>
  <si>
    <t>Diagnosis rate</t>
  </si>
  <si>
    <t>Holds</t>
  </si>
  <si>
    <t>Treatment rate</t>
  </si>
  <si>
    <t>Escalation time</t>
  </si>
  <si>
    <t>8.4 mo</t>
  </si>
  <si>
    <t>Access</t>
  </si>
  <si>
    <t>MMIT Formulary Coverage Data</t>
  </si>
  <si>
    <t>Fulfilment</t>
  </si>
  <si>
    <t>Improving</t>
  </si>
  <si>
    <t>Compliance</t>
  </si>
  <si>
    <t>LLT Product Mix — monthly source data</t>
  </si>
  <si>
    <t>Shares migrated from the prototype; patient counts are derived in the dashboard from the total pool.</t>
  </si>
  <si>
    <t>Total advanced LLT patients (M)</t>
  </si>
  <si>
    <t>Ezetimibe share</t>
  </si>
  <si>
    <t>Bempedoic share</t>
  </si>
  <si>
    <t>Repatha share</t>
  </si>
  <si>
    <t>Leqvio share</t>
  </si>
  <si>
    <t>Liphendra share</t>
  </si>
  <si>
    <t>Prescriber Breadth vs Depth — source data</t>
  </si>
  <si>
    <t>Prototype data migrated into the workbook for maintainable dashboard updates.</t>
  </si>
  <si>
    <t>Specialty</t>
  </si>
  <si>
    <t>Writers</t>
  </si>
  <si>
    <t>TRx per writer</t>
  </si>
  <si>
    <t>Cardiology</t>
  </si>
  <si>
    <t>Primary care</t>
  </si>
  <si>
    <t>Lipid spec.</t>
  </si>
  <si>
    <t>Liphendra Compliance — monthly source data</t>
  </si>
  <si>
    <t>Illustrative claims-based view; replace values as the ongoing claims feed becomes available.</t>
  </si>
  <si>
    <t>Illustrative claims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</si>
</sst>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.#,,&quot;M&quot;"/>
    <numFmt numFmtId="165" formatCode="0.0%"/>
    <numFmt numFmtId="166" formatCode="mmm\ yy"/>
    <numFmt numFmtId="167" formatCode="0.00&quot;M&quot;"/>
    <numFmt numFmtId="168" formatCode="0.0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Aptos Narrow"/>
    </font>
    <font>
      <b/>
      <sz val="11"/>
      <color theme="1"/>
      <name val="Aptos Narrow"/>
    </font>
    <font>
      <sz val="11"/>
      <color theme="1"/>
      <name val="Calibri"/>
    </font>
    <font>
      <b/>
      <sz val="11"/>
      <color theme="1"/>
      <name val="Calibri"/>
    </font>
    <font>
      <i/>
      <sz val="11"/>
      <color theme="1"/>
      <name val="Aptos Narrow"/>
    </font>
    <font>
      <b/>
      <sz val="10"/>
      <color rgb="FF2E5CA8"/>
      <name val="Calibri"/>
    </font>
    <font>
      <sz val="10"/>
      <color rgb="FFFF0000"/>
      <name val="Calibri"/>
    </font>
    <font>
      <sz val="8"/>
      <color rgb="FF000000"/>
      <name val="Calibri"/>
    </font>
    <font>
      <sz val="10"/>
      <color rgb="FF000000"/>
      <name val="Calibri"/>
    </font>
    <font>
      <b/>
      <sz val="10"/>
      <color rgb="FF000000"/>
      <name val="Calibri"/>
    </font>
    <font>
      <b/>
      <sz val="11"/>
      <color rgb="FFFFFFFF"/>
      <name val="Aptos Narrow"/>
    </font>
    <font>
      <b/>
      <i/>
      <sz val="11"/>
      <color theme="1"/>
      <name val="Aptos Narrow"/>
    </font>
    <font>
      <b/>
      <sz val="15"/>
      <color rgb="FFFFFFFF"/>
      <name val="Aptos Narrow"/>
    </font>
    <font>
      <i/>
      <sz val="11"/>
      <color rgb="FF667085"/>
      <name val="Aptos Narrow"/>
    </font>
    <font>
      <b/>
      <sz val="11"/>
      <color rgb="FF000000"/>
      <name val="Aptos Narrow"/>
    </font>
    <font>
      <sz val="11"/>
      <color rgb="FF000000"/>
      <name val="Aptos Narrow"/>
    </font>
  </fonts>
  <fills count="14">
    <fill>
      <patternFill patternType="none"/>
    </fill>
    <fill>
      <patternFill patternType="gray125"/>
    </fill>
    <fill>
      <patternFill patternType="solid">
        <fgColor rgb="FFF3F4FB"/>
      </patternFill>
    </fill>
    <fill>
      <patternFill patternType="solid">
        <fgColor rgb="FFFFFF00"/>
      </patternFill>
    </fill>
    <fill>
      <patternFill patternType="solid">
        <fgColor rgb="FFF8ECE8"/>
      </patternFill>
    </fill>
    <fill>
      <patternFill patternType="solid">
        <fgColor rgb="FFE8EAF1"/>
      </patternFill>
    </fill>
    <fill>
      <patternFill patternType="solid">
        <fgColor rgb="FFEBF0E9"/>
      </patternFill>
    </fill>
    <fill>
      <patternFill patternType="solid">
        <fgColor rgb="FFECEBEC"/>
      </patternFill>
    </fill>
    <fill>
      <patternFill patternType="solid">
        <fgColor theme="5" tint="0.79995117038483843"/>
        <bgColor indexed="65"/>
      </patternFill>
    </fill>
    <fill>
      <patternFill patternType="solid">
        <fgColor rgb="FF1769AA"/>
      </patternFill>
    </fill>
    <fill>
      <patternFill patternType="solid">
        <fgColor rgb="FF0B4F7D"/>
      </patternFill>
    </fill>
    <fill>
      <patternFill patternType="solid">
        <fgColor rgb="FFFFFF00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rgb="FF1769AA"/>
        <bgColor rgb="FF000000"/>
      </patternFill>
    </fill>
  </fills>
  <borders count="21">
    <border>
      <left/>
      <right/>
      <top/>
      <bottom/>
      <diagonal/>
    </border>
    <border>
      <left style="thin">
        <color indexed="64"/>
      </left>
      <right style="medium">
        <color rgb="FFFFFFFF"/>
      </right>
      <top style="thin">
        <color indexed="64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thin">
        <color indexed="64"/>
      </top>
      <bottom style="thin">
        <color indexed="64"/>
      </bottom>
      <diagonal/>
    </border>
    <border>
      <left style="medium">
        <color rgb="FFFFFFF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 style="thin">
        <color indexed="64"/>
      </right>
      <top/>
      <bottom style="medium">
        <color rgb="FFFFFFFF"/>
      </bottom>
      <diagonal/>
    </border>
    <border>
      <left style="thin">
        <color indexed="64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thin">
        <color indexed="64"/>
      </right>
      <top style="medium">
        <color rgb="FFFFFFFF"/>
      </top>
      <bottom style="medium">
        <color rgb="FFFFFFFF"/>
      </bottom>
      <diagonal/>
    </border>
    <border>
      <left style="thin">
        <color indexed="64"/>
      </left>
      <right style="medium">
        <color rgb="FFFFFFFF"/>
      </right>
      <top style="medium">
        <color rgb="FFFFFFFF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n">
        <color indexed="64"/>
      </bottom>
      <diagonal/>
    </border>
    <border>
      <left style="medium">
        <color rgb="FFFFFFFF"/>
      </left>
      <right style="thin">
        <color indexed="64"/>
      </right>
      <top style="medium">
        <color rgb="FFFFFFFF"/>
      </top>
      <bottom style="thin">
        <color indexed="64"/>
      </bottom>
      <diagonal/>
    </border>
    <border>
      <left style="thin">
        <color indexed="64"/>
      </left>
      <right style="medium">
        <color rgb="FFFFFFFF"/>
      </right>
      <top style="thin">
        <color indexed="64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thin">
        <color indexed="64"/>
      </top>
      <bottom style="medium">
        <color rgb="FFFFFFFF"/>
      </bottom>
      <diagonal/>
    </border>
    <border>
      <left style="medium">
        <color rgb="FFFFFFFF"/>
      </left>
      <right style="thin">
        <color indexed="64"/>
      </right>
      <top style="thin">
        <color indexed="64"/>
      </top>
      <bottom style="medium">
        <color rgb="FFFFFFFF"/>
      </bottom>
      <diagonal/>
    </border>
    <border>
      <left style="thin">
        <color indexed="64"/>
      </left>
      <right style="medium">
        <color rgb="FFFFFFFF"/>
      </right>
      <top style="medium">
        <color rgb="FFFFFFFF"/>
      </top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>
      <left style="medium">
        <color rgb="FFFFFFFF"/>
      </left>
      <right style="thin">
        <color indexed="64"/>
      </right>
      <top style="medium">
        <color rgb="FFFFFFFF"/>
      </top>
      <bottom/>
      <diagonal/>
    </border>
    <border>
      <left style="thin">
        <color rgb="FFD9E4EE"/>
      </left>
      <right style="thin">
        <color rgb="FFD9E4EE"/>
      </right>
      <top style="thin">
        <color rgb="FFD9E4EE"/>
      </top>
      <bottom style="thin">
        <color rgb="FFD9E4EE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90">
    <xf numFmtId="0" fontId="0" fillId="0" borderId="0" xfId="0"/>
    <xf numFmtId="1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2" fillId="0" borderId="0" xfId="0" applyFont="1"/>
    <xf numFmtId="0" fontId="3" fillId="0" borderId="0" xfId="0" applyFont="1" applyAlignment="1">
      <alignment vertical="center" wrapText="1"/>
    </xf>
    <xf numFmtId="10" fontId="3" fillId="0" borderId="0" xfId="0" applyNumberFormat="1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/>
    <xf numFmtId="0" fontId="6" fillId="2" borderId="1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left" vertical="center" wrapText="1"/>
    </xf>
    <xf numFmtId="10" fontId="8" fillId="3" borderId="5" xfId="0" applyNumberFormat="1" applyFont="1" applyFill="1" applyBorder="1" applyAlignment="1">
      <alignment horizontal="center" wrapText="1"/>
    </xf>
    <xf numFmtId="10" fontId="8" fillId="3" borderId="6" xfId="0" applyNumberFormat="1" applyFont="1" applyFill="1" applyBorder="1" applyAlignment="1">
      <alignment horizontal="center" wrapText="1"/>
    </xf>
    <xf numFmtId="3" fontId="1" fillId="0" borderId="0" xfId="0" applyNumberFormat="1" applyFont="1"/>
    <xf numFmtId="0" fontId="7" fillId="3" borderId="7" xfId="0" applyFont="1" applyFill="1" applyBorder="1" applyAlignment="1">
      <alignment horizontal="left" vertical="center" wrapText="1"/>
    </xf>
    <xf numFmtId="10" fontId="8" fillId="3" borderId="8" xfId="0" applyNumberFormat="1" applyFont="1" applyFill="1" applyBorder="1" applyAlignment="1">
      <alignment horizontal="center" wrapText="1"/>
    </xf>
    <xf numFmtId="10" fontId="8" fillId="3" borderId="9" xfId="0" applyNumberFormat="1" applyFont="1" applyFill="1" applyBorder="1" applyAlignment="1">
      <alignment horizontal="center" wrapText="1"/>
    </xf>
    <xf numFmtId="0" fontId="9" fillId="4" borderId="7" xfId="0" applyFont="1" applyFill="1" applyBorder="1" applyAlignment="1">
      <alignment horizontal="left" vertical="center" wrapText="1"/>
    </xf>
    <xf numFmtId="10" fontId="8" fillId="4" borderId="8" xfId="0" applyNumberFormat="1" applyFont="1" applyFill="1" applyBorder="1" applyAlignment="1">
      <alignment horizontal="center" wrapText="1"/>
    </xf>
    <xf numFmtId="10" fontId="8" fillId="4" borderId="9" xfId="0" applyNumberFormat="1" applyFont="1" applyFill="1" applyBorder="1" applyAlignment="1">
      <alignment horizontal="center" wrapText="1"/>
    </xf>
    <xf numFmtId="0" fontId="9" fillId="4" borderId="10" xfId="0" applyFont="1" applyFill="1" applyBorder="1" applyAlignment="1">
      <alignment horizontal="left" vertical="center" wrapText="1"/>
    </xf>
    <xf numFmtId="10" fontId="8" fillId="4" borderId="11" xfId="0" applyNumberFormat="1" applyFont="1" applyFill="1" applyBorder="1" applyAlignment="1">
      <alignment horizontal="center" wrapText="1"/>
    </xf>
    <xf numFmtId="10" fontId="8" fillId="4" borderId="12" xfId="0" applyNumberFormat="1" applyFont="1" applyFill="1" applyBorder="1" applyAlignment="1">
      <alignment horizontal="center" wrapText="1"/>
    </xf>
    <xf numFmtId="0" fontId="7" fillId="5" borderId="13" xfId="0" applyFont="1" applyFill="1" applyBorder="1" applyAlignment="1">
      <alignment horizontal="left" vertical="center" wrapText="1"/>
    </xf>
    <xf numFmtId="10" fontId="8" fillId="5" borderId="14" xfId="0" applyNumberFormat="1" applyFont="1" applyFill="1" applyBorder="1" applyAlignment="1">
      <alignment horizontal="center" wrapText="1"/>
    </xf>
    <xf numFmtId="10" fontId="8" fillId="5" borderId="15" xfId="0" applyNumberFormat="1" applyFont="1" applyFill="1" applyBorder="1" applyAlignment="1">
      <alignment horizontal="center" wrapText="1"/>
    </xf>
    <xf numFmtId="0" fontId="9" fillId="5" borderId="7" xfId="0" applyFont="1" applyFill="1" applyBorder="1" applyAlignment="1">
      <alignment horizontal="left" vertical="center" wrapText="1"/>
    </xf>
    <xf numFmtId="10" fontId="8" fillId="5" borderId="8" xfId="0" applyNumberFormat="1" applyFont="1" applyFill="1" applyBorder="1" applyAlignment="1">
      <alignment horizontal="center" wrapText="1"/>
    </xf>
    <xf numFmtId="10" fontId="8" fillId="5" borderId="9" xfId="0" applyNumberFormat="1" applyFont="1" applyFill="1" applyBorder="1" applyAlignment="1">
      <alignment horizontal="center" wrapText="1"/>
    </xf>
    <xf numFmtId="0" fontId="9" fillId="5" borderId="10" xfId="0" applyFont="1" applyFill="1" applyBorder="1" applyAlignment="1">
      <alignment horizontal="left" vertical="center" wrapText="1"/>
    </xf>
    <xf numFmtId="10" fontId="8" fillId="5" borderId="11" xfId="0" applyNumberFormat="1" applyFont="1" applyFill="1" applyBorder="1" applyAlignment="1">
      <alignment horizontal="center" wrapText="1"/>
    </xf>
    <xf numFmtId="10" fontId="8" fillId="5" borderId="12" xfId="0" applyNumberFormat="1" applyFont="1" applyFill="1" applyBorder="1" applyAlignment="1">
      <alignment horizontal="center" wrapText="1"/>
    </xf>
    <xf numFmtId="0" fontId="7" fillId="6" borderId="13" xfId="0" applyFont="1" applyFill="1" applyBorder="1" applyAlignment="1">
      <alignment horizontal="left" vertical="center" wrapText="1"/>
    </xf>
    <xf numFmtId="10" fontId="8" fillId="6" borderId="14" xfId="0" applyNumberFormat="1" applyFont="1" applyFill="1" applyBorder="1" applyAlignment="1">
      <alignment horizontal="center" wrapText="1"/>
    </xf>
    <xf numFmtId="10" fontId="8" fillId="6" borderId="15" xfId="0" applyNumberFormat="1" applyFont="1" applyFill="1" applyBorder="1" applyAlignment="1">
      <alignment horizontal="center" wrapText="1"/>
    </xf>
    <xf numFmtId="0" fontId="9" fillId="6" borderId="16" xfId="0" applyFont="1" applyFill="1" applyBorder="1" applyAlignment="1">
      <alignment horizontal="left" vertical="center" wrapText="1"/>
    </xf>
    <xf numFmtId="10" fontId="8" fillId="6" borderId="17" xfId="0" applyNumberFormat="1" applyFont="1" applyFill="1" applyBorder="1" applyAlignment="1">
      <alignment horizontal="center" wrapText="1"/>
    </xf>
    <xf numFmtId="10" fontId="8" fillId="6" borderId="18" xfId="0" applyNumberFormat="1" applyFont="1" applyFill="1" applyBorder="1" applyAlignment="1">
      <alignment horizontal="center" wrapText="1"/>
    </xf>
    <xf numFmtId="0" fontId="10" fillId="7" borderId="1" xfId="0" applyFont="1" applyFill="1" applyBorder="1" applyAlignment="1">
      <alignment horizontal="center" vertical="center" wrapText="1"/>
    </xf>
    <xf numFmtId="10" fontId="10" fillId="7" borderId="2" xfId="0" applyNumberFormat="1" applyFont="1" applyFill="1" applyBorder="1" applyAlignment="1">
      <alignment horizontal="center" vertical="center" wrapText="1"/>
    </xf>
    <xf numFmtId="10" fontId="10" fillId="7" borderId="3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2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8" borderId="0" xfId="0" applyFont="1" applyFill="1"/>
    <xf numFmtId="0" fontId="11" fillId="9" borderId="0" xfId="0" applyFont="1" applyFill="1" applyAlignment="1">
      <alignment wrapText="1"/>
    </xf>
    <xf numFmtId="9" fontId="1" fillId="0" borderId="0" xfId="0" applyNumberFormat="1" applyFont="1" applyAlignment="1">
      <alignment horizontal="center"/>
    </xf>
    <xf numFmtId="9" fontId="1" fillId="8" borderId="0" xfId="0" applyNumberFormat="1" applyFont="1" applyFill="1"/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right" vertical="center" wrapText="1"/>
    </xf>
    <xf numFmtId="166" fontId="1" fillId="0" borderId="0" xfId="0" applyNumberFormat="1" applyFont="1"/>
    <xf numFmtId="9" fontId="1" fillId="0" borderId="0" xfId="0" applyNumberFormat="1" applyFont="1" applyAlignment="1">
      <alignment vertical="center" wrapText="1"/>
    </xf>
    <xf numFmtId="9" fontId="2" fillId="0" borderId="0" xfId="0" applyNumberFormat="1" applyFont="1" applyAlignment="1">
      <alignment vertical="center" wrapText="1"/>
    </xf>
    <xf numFmtId="16" fontId="1" fillId="0" borderId="0" xfId="0" applyNumberFormat="1" applyFont="1" applyAlignment="1">
      <alignment vertical="center" wrapText="1"/>
    </xf>
    <xf numFmtId="3" fontId="1" fillId="0" borderId="0" xfId="0" applyNumberFormat="1" applyFont="1" applyAlignment="1">
      <alignment horizontal="right" vertical="center" wrapText="1"/>
    </xf>
    <xf numFmtId="9" fontId="1" fillId="0" borderId="0" xfId="0" applyNumberFormat="1" applyFont="1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3" fontId="2" fillId="0" borderId="0" xfId="0" applyNumberFormat="1" applyFont="1" applyAlignment="1">
      <alignment horizontal="right" vertical="center" wrapText="1"/>
    </xf>
    <xf numFmtId="9" fontId="2" fillId="0" borderId="0" xfId="0" applyNumberFormat="1" applyFont="1" applyAlignment="1">
      <alignment horizontal="right" vertical="center" wrapText="1"/>
    </xf>
    <xf numFmtId="9" fontId="1" fillId="0" borderId="0" xfId="0" applyNumberFormat="1" applyFont="1"/>
    <xf numFmtId="14" fontId="1" fillId="0" borderId="0" xfId="0" applyNumberFormat="1" applyFont="1"/>
    <xf numFmtId="10" fontId="1" fillId="0" borderId="0" xfId="0" applyNumberFormat="1" applyFont="1" applyAlignment="1">
      <alignment horizontal="right" vertical="center" wrapText="1"/>
    </xf>
    <xf numFmtId="0" fontId="12" fillId="0" borderId="0" xfId="0" applyFont="1"/>
    <xf numFmtId="1" fontId="1" fillId="0" borderId="0" xfId="0" applyNumberFormat="1" applyFont="1"/>
    <xf numFmtId="0" fontId="1" fillId="0" borderId="0" xfId="0" applyFont="1" applyAlignment="1">
      <alignment vertical="center" wrapText="1"/>
    </xf>
    <xf numFmtId="10" fontId="1" fillId="0" borderId="0" xfId="0" applyNumberFormat="1" applyFont="1" applyAlignment="1">
      <alignment vertical="center" wrapText="1"/>
    </xf>
    <xf numFmtId="10" fontId="2" fillId="0" borderId="0" xfId="0" applyNumberFormat="1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11" fillId="9" borderId="19" xfId="0" applyFont="1" applyFill="1" applyBorder="1" applyAlignment="1">
      <alignment vertical="center" wrapText="1"/>
    </xf>
    <xf numFmtId="166" fontId="1" fillId="0" borderId="20" xfId="0" applyNumberFormat="1" applyFont="1" applyBorder="1"/>
    <xf numFmtId="167" fontId="1" fillId="0" borderId="20" xfId="0" applyNumberFormat="1" applyFont="1" applyBorder="1"/>
    <xf numFmtId="165" fontId="1" fillId="0" borderId="20" xfId="0" applyNumberFormat="1" applyFont="1" applyBorder="1"/>
    <xf numFmtId="0" fontId="1" fillId="0" borderId="20" xfId="0" applyFont="1" applyBorder="1"/>
    <xf numFmtId="3" fontId="1" fillId="0" borderId="20" xfId="0" applyNumberFormat="1" applyFont="1" applyBorder="1"/>
    <xf numFmtId="168" fontId="1" fillId="0" borderId="20" xfId="0" applyNumberFormat="1" applyFont="1" applyBorder="1"/>
    <xf numFmtId="9" fontId="1" fillId="0" borderId="20" xfId="0" applyNumberFormat="1" applyFont="1" applyBorder="1"/>
    <xf numFmtId="0" fontId="15" fillId="0" borderId="0" xfId="0" applyFont="1" applyAlignment="1">
      <alignment horizontal="center"/>
    </xf>
    <xf numFmtId="0" fontId="16" fillId="11" borderId="0" xfId="0" applyFont="1" applyFill="1" applyAlignment="1">
      <alignment horizontal="center"/>
    </xf>
    <xf numFmtId="0" fontId="16" fillId="12" borderId="0" xfId="0" applyFont="1" applyFill="1"/>
    <xf numFmtId="0" fontId="11" fillId="13" borderId="0" xfId="0" applyFont="1" applyFill="1" applyAlignment="1">
      <alignment wrapText="1"/>
    </xf>
    <xf numFmtId="14" fontId="16" fillId="0" borderId="0" xfId="0" applyNumberFormat="1" applyFont="1" applyAlignment="1">
      <alignment horizontal="center"/>
    </xf>
    <xf numFmtId="9" fontId="16" fillId="0" borderId="0" xfId="0" applyNumberFormat="1" applyFont="1" applyAlignment="1">
      <alignment horizontal="center"/>
    </xf>
    <xf numFmtId="10" fontId="16" fillId="0" borderId="0" xfId="0" applyNumberFormat="1" applyFont="1" applyAlignment="1">
      <alignment horizontal="center"/>
    </xf>
    <xf numFmtId="3" fontId="16" fillId="0" borderId="0" xfId="0" applyNumberFormat="1" applyFont="1"/>
    <xf numFmtId="0" fontId="16" fillId="0" borderId="0" xfId="0" applyFont="1"/>
    <xf numFmtId="0" fontId="13" fillId="10" borderId="0" xfId="0" applyFont="1" applyFill="1" applyAlignment="1">
      <alignment vertical="center"/>
    </xf>
    <xf numFmtId="0" fontId="14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4" displayName="Table14" ref="B3:I63" headerRowCount="0">
  <tableColumns count="8">
    <tableColumn id="1" xr3:uid="{00000000-0010-0000-0000-000001000000}" name="Month"/>
    <tableColumn id="2" xr3:uid="{00000000-0010-0000-0000-000002000000}" name="Nurtec (Oral CGRP)"/>
    <tableColumn id="3" xr3:uid="{00000000-0010-0000-0000-000003000000}" name="Ezetemibe"/>
    <tableColumn id="4" xr3:uid="{00000000-0010-0000-0000-000004000000}" name="Farxiga"/>
    <tableColumn id="5" xr3:uid="{00000000-0010-0000-0000-000005000000}" name="Jardiance"/>
    <tableColumn id="6" xr3:uid="{00000000-0010-0000-0000-000006000000}" name="Ozempic"/>
    <tableColumn id="7" xr3:uid="{00000000-0010-0000-0000-000007000000}" name="Nucala"/>
    <tableColumn id="8" xr3:uid="{00000000-0010-0000-0000-000008000000}" name="Ubrelvy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F25"/>
  <sheetViews>
    <sheetView showGridLines="0" zoomScaleNormal="100" workbookViewId="0"/>
  </sheetViews>
  <sheetFormatPr defaultRowHeight="14.4" customHeight="1" x14ac:dyDescent="0.3"/>
  <cols>
    <col min="3" max="3" width="13.109375" customWidth="1"/>
    <col min="4" max="4" width="15" customWidth="1"/>
  </cols>
  <sheetData>
    <row r="3" spans="2:6" ht="14.4" customHeight="1" x14ac:dyDescent="0.3">
      <c r="B3" s="1" t="s">
        <v>0</v>
      </c>
      <c r="C3" s="2" t="s">
        <v>1</v>
      </c>
      <c r="D3" s="2" t="s">
        <v>2</v>
      </c>
      <c r="F3" t="s">
        <v>3</v>
      </c>
    </row>
    <row r="4" spans="2:6" ht="14.4" customHeight="1" x14ac:dyDescent="0.3">
      <c r="B4" s="1">
        <v>2026</v>
      </c>
      <c r="C4" s="3">
        <v>70276510.128297895</v>
      </c>
      <c r="D4" s="3">
        <v>70776510.128297895</v>
      </c>
      <c r="F4" t="s">
        <v>4</v>
      </c>
    </row>
    <row r="5" spans="2:6" ht="14.4" customHeight="1" x14ac:dyDescent="0.3">
      <c r="B5" s="1">
        <f t="shared" ref="B5:B21" si="0">B4+1</f>
        <v>2027</v>
      </c>
      <c r="C5" s="3">
        <v>71500000.130531505</v>
      </c>
      <c r="D5" s="3">
        <v>72300000.130531505</v>
      </c>
      <c r="F5" t="s">
        <v>5</v>
      </c>
    </row>
    <row r="6" spans="2:6" ht="14.4" customHeight="1" x14ac:dyDescent="0.3">
      <c r="B6" s="1">
        <f t="shared" si="0"/>
        <v>2028</v>
      </c>
      <c r="C6" s="3">
        <v>72939400.133159295</v>
      </c>
      <c r="D6" s="3">
        <v>73839400.133159295</v>
      </c>
      <c r="F6" t="s">
        <v>6</v>
      </c>
    </row>
    <row r="7" spans="2:6" ht="14.4" customHeight="1" x14ac:dyDescent="0.3">
      <c r="B7" s="1">
        <f t="shared" si="0"/>
        <v>2029</v>
      </c>
      <c r="C7" s="3">
        <v>74483147.873551905</v>
      </c>
      <c r="D7" s="3">
        <v>75483147.873551905</v>
      </c>
      <c r="F7" t="s">
        <v>7</v>
      </c>
    </row>
    <row r="8" spans="2:6" ht="14.4" customHeight="1" x14ac:dyDescent="0.3">
      <c r="B8" s="1">
        <f t="shared" si="0"/>
        <v>2030</v>
      </c>
      <c r="C8" s="3">
        <v>76045549.3195225</v>
      </c>
      <c r="D8" s="3">
        <v>77045549.3195225</v>
      </c>
    </row>
    <row r="9" spans="2:6" ht="14.4" customHeight="1" x14ac:dyDescent="0.3">
      <c r="B9" s="1">
        <f t="shared" si="0"/>
        <v>2031</v>
      </c>
      <c r="C9" s="3">
        <v>77584100.061735898</v>
      </c>
      <c r="D9" s="3">
        <v>78584100.061735898</v>
      </c>
    </row>
    <row r="10" spans="2:6" ht="14.4" customHeight="1" x14ac:dyDescent="0.3">
      <c r="B10" s="1">
        <f t="shared" si="0"/>
        <v>2032</v>
      </c>
      <c r="C10" s="3">
        <v>79078001.430776298</v>
      </c>
      <c r="D10" s="3">
        <v>80278001.430776298</v>
      </c>
    </row>
    <row r="11" spans="2:6" ht="14.4" customHeight="1" x14ac:dyDescent="0.3">
      <c r="B11" s="1">
        <f t="shared" si="0"/>
        <v>2033</v>
      </c>
      <c r="C11" s="3">
        <v>80517404.838473499</v>
      </c>
      <c r="D11" s="3">
        <v>82017404.838473499</v>
      </c>
    </row>
    <row r="12" spans="2:6" ht="14.4" customHeight="1" x14ac:dyDescent="0.3">
      <c r="B12" s="1">
        <f t="shared" si="0"/>
        <v>2034</v>
      </c>
      <c r="C12" s="3">
        <v>81904630.250773206</v>
      </c>
      <c r="D12" s="3">
        <v>83704630.250773206</v>
      </c>
    </row>
    <row r="13" spans="2:6" ht="14.4" customHeight="1" x14ac:dyDescent="0.3">
      <c r="B13" s="1">
        <f t="shared" si="0"/>
        <v>2035</v>
      </c>
      <c r="C13" s="3">
        <v>83242203.082652405</v>
      </c>
      <c r="D13" s="3">
        <v>85542203.082652405</v>
      </c>
    </row>
    <row r="14" spans="2:6" ht="14.4" customHeight="1" x14ac:dyDescent="0.3">
      <c r="B14" s="1">
        <f t="shared" si="0"/>
        <v>2036</v>
      </c>
      <c r="C14" s="3">
        <v>84528479.872304603</v>
      </c>
      <c r="D14" s="3">
        <v>87328479.872304603</v>
      </c>
    </row>
    <row r="15" spans="2:6" ht="14.4" customHeight="1" x14ac:dyDescent="0.3">
      <c r="B15" s="1">
        <f t="shared" si="0"/>
        <v>2037</v>
      </c>
      <c r="C15" s="3">
        <v>85765943.348173499</v>
      </c>
      <c r="D15" s="3">
        <v>89065943.348173499</v>
      </c>
    </row>
    <row r="16" spans="2:6" ht="14.4" customHeight="1" x14ac:dyDescent="0.3">
      <c r="B16" s="1">
        <f t="shared" si="0"/>
        <v>2038</v>
      </c>
      <c r="C16" s="3">
        <v>86956956.074646205</v>
      </c>
      <c r="D16" s="3">
        <v>91056956.074646205</v>
      </c>
    </row>
    <row r="17" spans="2:4" ht="14.4" customHeight="1" x14ac:dyDescent="0.3">
      <c r="B17" s="1">
        <f t="shared" si="0"/>
        <v>2039</v>
      </c>
      <c r="C17" s="3">
        <v>88103766.267993495</v>
      </c>
      <c r="D17" s="3">
        <v>92903766.267993495</v>
      </c>
    </row>
    <row r="18" spans="2:4" ht="14.4" customHeight="1" x14ac:dyDescent="0.3">
      <c r="B18" s="1">
        <f t="shared" si="0"/>
        <v>2040</v>
      </c>
      <c r="C18" s="3">
        <v>89208513.330818698</v>
      </c>
      <c r="D18" s="3">
        <v>94808513.330818698</v>
      </c>
    </row>
    <row r="19" spans="2:4" ht="14.4" customHeight="1" x14ac:dyDescent="0.3">
      <c r="B19" s="1">
        <f t="shared" si="0"/>
        <v>2041</v>
      </c>
      <c r="C19" s="3">
        <v>90269246.914758503</v>
      </c>
      <c r="D19" s="3">
        <v>96869246.914758503</v>
      </c>
    </row>
    <row r="20" spans="2:4" ht="14.4" customHeight="1" x14ac:dyDescent="0.3">
      <c r="B20" s="1">
        <f t="shared" si="0"/>
        <v>2042</v>
      </c>
      <c r="C20" s="3">
        <v>91288097.272191003</v>
      </c>
      <c r="D20" s="3">
        <v>98688097.272191003</v>
      </c>
    </row>
    <row r="21" spans="2:4" ht="14.4" customHeight="1" x14ac:dyDescent="0.3">
      <c r="B21" s="1">
        <f t="shared" si="0"/>
        <v>2043</v>
      </c>
      <c r="C21" s="3">
        <v>92267091.551279202</v>
      </c>
      <c r="D21" s="3">
        <v>100667091.55127899</v>
      </c>
    </row>
    <row r="22" spans="2:4" ht="14.4" customHeight="1" x14ac:dyDescent="0.3">
      <c r="B22" s="1"/>
      <c r="C22" s="3"/>
      <c r="D22" s="3"/>
    </row>
    <row r="23" spans="2:4" ht="14.4" customHeight="1" x14ac:dyDescent="0.3">
      <c r="B23" s="1"/>
      <c r="C23" s="3"/>
      <c r="D23" s="3"/>
    </row>
    <row r="25" spans="2:4" ht="14.4" customHeight="1" x14ac:dyDescent="0.3">
      <c r="C25" s="4"/>
      <c r="D25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I40"/>
  <sheetViews>
    <sheetView workbookViewId="0"/>
  </sheetViews>
  <sheetFormatPr defaultRowHeight="11.55" customHeight="1" x14ac:dyDescent="0.3"/>
  <cols>
    <col min="2" max="2" width="64.88671875" customWidth="1"/>
    <col min="3" max="3" width="24.6640625" customWidth="1"/>
    <col min="4" max="4" width="29.44140625" customWidth="1"/>
    <col min="7" max="7" width="57.88671875" customWidth="1"/>
    <col min="8" max="8" width="11.88671875" customWidth="1"/>
  </cols>
  <sheetData>
    <row r="2" spans="2:9" ht="14.4" x14ac:dyDescent="0.3">
      <c r="B2" s="5" t="s">
        <v>8</v>
      </c>
    </row>
    <row r="4" spans="2:9" ht="14.4" x14ac:dyDescent="0.3">
      <c r="B4" s="6" t="s">
        <v>9</v>
      </c>
      <c r="C4" s="6" t="s">
        <v>10</v>
      </c>
    </row>
    <row r="5" spans="2:9" ht="14.4" x14ac:dyDescent="0.3">
      <c r="B5" s="6" t="s">
        <v>11</v>
      </c>
      <c r="C5" s="7">
        <f>SUM(C13:C18)</f>
        <v>0.35</v>
      </c>
    </row>
    <row r="6" spans="2:9" ht="14.4" x14ac:dyDescent="0.3">
      <c r="B6" s="6" t="s">
        <v>12</v>
      </c>
      <c r="C6" s="7">
        <f>SUM(C19:C24)</f>
        <v>0.29599999999999999</v>
      </c>
    </row>
    <row r="7" spans="2:9" ht="14.4" x14ac:dyDescent="0.3">
      <c r="B7" s="6" t="s">
        <v>13</v>
      </c>
      <c r="C7" s="7">
        <f>SUM(C25:C26)</f>
        <v>0.35399999999999998</v>
      </c>
    </row>
    <row r="10" spans="2:9" ht="14.4" x14ac:dyDescent="0.3">
      <c r="B10" s="8" t="s">
        <v>14</v>
      </c>
    </row>
    <row r="11" spans="2:9" ht="14.4" x14ac:dyDescent="0.3">
      <c r="G11" s="9" t="s">
        <v>15</v>
      </c>
    </row>
    <row r="12" spans="2:9" ht="14.4" x14ac:dyDescent="0.3">
      <c r="B12" s="10" t="s">
        <v>16</v>
      </c>
      <c r="C12" s="11" t="s">
        <v>17</v>
      </c>
      <c r="D12" s="12" t="s">
        <v>18</v>
      </c>
    </row>
    <row r="13" spans="2:9" ht="12" customHeight="1" x14ac:dyDescent="0.3">
      <c r="B13" s="13" t="s">
        <v>19</v>
      </c>
      <c r="C13" s="14">
        <v>0.104</v>
      </c>
      <c r="D13" s="15">
        <v>9.5000000000000001E-2</v>
      </c>
      <c r="G13" t="s">
        <v>20</v>
      </c>
      <c r="H13" s="16">
        <v>52020.991983967935</v>
      </c>
      <c r="I13" s="4">
        <f t="shared" ref="I13" si="0">H13/SUM($H$13:$H$26)</f>
        <v>1.1332979099301961E-2</v>
      </c>
    </row>
    <row r="14" spans="2:9" ht="12" customHeight="1" x14ac:dyDescent="0.3">
      <c r="B14" s="17" t="s">
        <v>21</v>
      </c>
      <c r="C14" s="18">
        <v>0.111</v>
      </c>
      <c r="D14" s="19">
        <v>0.115</v>
      </c>
      <c r="G14" t="s">
        <v>22</v>
      </c>
      <c r="H14" s="16">
        <v>184603.98549179515</v>
      </c>
      <c r="I14" s="4">
        <f t="shared" ref="I14:I26" si="1">H14/SUM($H$13:$H$26)</f>
        <v>4.0216709244435662E-2</v>
      </c>
    </row>
    <row r="15" spans="2:9" ht="12" customHeight="1" x14ac:dyDescent="0.3">
      <c r="B15" s="17" t="s">
        <v>23</v>
      </c>
      <c r="C15" s="18">
        <v>7.6999999999999999E-2</v>
      </c>
      <c r="D15" s="19">
        <v>8.2000000000000003E-2</v>
      </c>
      <c r="G15" t="s">
        <v>24</v>
      </c>
      <c r="H15" s="16">
        <v>25191.390497401633</v>
      </c>
      <c r="I15" s="4">
        <f t="shared" si="1"/>
        <v>5.4880441741170837E-3</v>
      </c>
    </row>
    <row r="16" spans="2:9" ht="12" customHeight="1" x14ac:dyDescent="0.3">
      <c r="B16" s="20" t="s">
        <v>25</v>
      </c>
      <c r="C16" s="21">
        <v>8.9999999999999993E-3</v>
      </c>
      <c r="D16" s="22">
        <v>8.9999999999999993E-3</v>
      </c>
      <c r="G16" t="s">
        <v>26</v>
      </c>
      <c r="H16" s="16">
        <v>2973.8975501113587</v>
      </c>
      <c r="I16" s="4">
        <f t="shared" si="1"/>
        <v>6.4787535749537631E-4</v>
      </c>
    </row>
    <row r="17" spans="2:9" ht="12" customHeight="1" x14ac:dyDescent="0.3">
      <c r="B17" s="20" t="s">
        <v>27</v>
      </c>
      <c r="C17" s="21">
        <v>1.6E-2</v>
      </c>
      <c r="D17" s="22">
        <v>1.6E-2</v>
      </c>
      <c r="G17" t="s">
        <v>28</v>
      </c>
      <c r="H17" s="16">
        <v>9836.8737474949903</v>
      </c>
      <c r="I17" s="4">
        <f t="shared" si="1"/>
        <v>2.1430018984872419E-3</v>
      </c>
    </row>
    <row r="18" spans="2:9" ht="14.4" x14ac:dyDescent="0.3">
      <c r="B18" s="23" t="s">
        <v>29</v>
      </c>
      <c r="C18" s="24">
        <v>3.3000000000000002E-2</v>
      </c>
      <c r="D18" s="25">
        <v>3.5000000000000003E-2</v>
      </c>
      <c r="G18" t="s">
        <v>30</v>
      </c>
      <c r="H18" s="16">
        <v>633852.86072922894</v>
      </c>
      <c r="I18" s="4">
        <f t="shared" si="1"/>
        <v>0.13808735567539607</v>
      </c>
    </row>
    <row r="19" spans="2:9" ht="12" customHeight="1" x14ac:dyDescent="0.3">
      <c r="B19" s="26" t="s">
        <v>31</v>
      </c>
      <c r="C19" s="27">
        <v>9.6000000000000002E-2</v>
      </c>
      <c r="D19" s="28">
        <v>9.0999999999999998E-2</v>
      </c>
      <c r="G19" t="s">
        <v>32</v>
      </c>
      <c r="H19" s="16">
        <v>11962.021509296392</v>
      </c>
      <c r="I19" s="4">
        <f t="shared" si="1"/>
        <v>2.6059737536730486E-3</v>
      </c>
    </row>
    <row r="20" spans="2:9" ht="12" customHeight="1" x14ac:dyDescent="0.3">
      <c r="B20" s="29" t="s">
        <v>33</v>
      </c>
      <c r="C20" s="30">
        <v>1.4999999999999999E-2</v>
      </c>
      <c r="D20" s="31">
        <v>1.4E-2</v>
      </c>
      <c r="G20" t="s">
        <v>34</v>
      </c>
      <c r="H20" s="16">
        <v>3892.3168064163319</v>
      </c>
      <c r="I20" s="4">
        <f t="shared" si="1"/>
        <v>8.4795662928866368E-4</v>
      </c>
    </row>
    <row r="21" spans="2:9" ht="12" customHeight="1" x14ac:dyDescent="0.3">
      <c r="B21" s="29" t="s">
        <v>35</v>
      </c>
      <c r="C21" s="30">
        <v>6.0999999999999999E-2</v>
      </c>
      <c r="D21" s="31">
        <v>6.4000000000000001E-2</v>
      </c>
      <c r="G21" t="s">
        <v>36</v>
      </c>
      <c r="H21" s="16">
        <v>367854.14234905096</v>
      </c>
      <c r="I21" s="4">
        <f t="shared" si="1"/>
        <v>8.0138481559871591E-2</v>
      </c>
    </row>
    <row r="22" spans="2:9" ht="12" customHeight="1" x14ac:dyDescent="0.3">
      <c r="B22" s="29" t="s">
        <v>37</v>
      </c>
      <c r="C22" s="30">
        <v>1.0999999999999999E-2</v>
      </c>
      <c r="D22" s="31">
        <v>1.2E-2</v>
      </c>
      <c r="G22" t="s">
        <v>38</v>
      </c>
      <c r="H22" s="16">
        <v>6675.824547600314</v>
      </c>
      <c r="I22" s="4">
        <f t="shared" si="1"/>
        <v>1.45435481299314E-3</v>
      </c>
    </row>
    <row r="23" spans="2:9" ht="12" customHeight="1" x14ac:dyDescent="0.3">
      <c r="B23" s="29" t="s">
        <v>39</v>
      </c>
      <c r="C23" s="30">
        <v>7.6999999999999999E-2</v>
      </c>
      <c r="D23" s="31">
        <v>6.8000000000000005E-2</v>
      </c>
      <c r="G23" t="s">
        <v>40</v>
      </c>
      <c r="H23" s="16">
        <v>2276.6577498033043</v>
      </c>
      <c r="I23" s="4">
        <f t="shared" si="1"/>
        <v>4.9597890602963218E-4</v>
      </c>
    </row>
    <row r="24" spans="2:9" ht="14.4" x14ac:dyDescent="0.3">
      <c r="B24" s="32" t="s">
        <v>41</v>
      </c>
      <c r="C24" s="33">
        <v>3.5999999999999997E-2</v>
      </c>
      <c r="D24" s="34">
        <v>3.5000000000000003E-2</v>
      </c>
      <c r="G24" t="s">
        <v>42</v>
      </c>
      <c r="H24" s="16">
        <v>253346.03703783272</v>
      </c>
      <c r="I24" s="4">
        <f t="shared" si="1"/>
        <v>5.5192437382308807E-2</v>
      </c>
    </row>
    <row r="25" spans="2:9" ht="12" customHeight="1" x14ac:dyDescent="0.3">
      <c r="B25" s="35" t="s">
        <v>43</v>
      </c>
      <c r="C25" s="36">
        <v>0.25600000000000001</v>
      </c>
      <c r="D25" s="37">
        <v>0.27</v>
      </c>
      <c r="G25" t="s">
        <v>44</v>
      </c>
      <c r="H25" s="16">
        <f>SUM(H31:H33)</f>
        <v>1624067</v>
      </c>
      <c r="I25" s="4">
        <f t="shared" si="1"/>
        <v>0.35380942702012164</v>
      </c>
    </row>
    <row r="26" spans="2:9" ht="14.4" x14ac:dyDescent="0.3">
      <c r="B26" s="38" t="s">
        <v>45</v>
      </c>
      <c r="C26" s="39">
        <v>9.8000000000000004E-2</v>
      </c>
      <c r="D26" s="40">
        <f>1-SUM(D13:D25)</f>
        <v>9.399999999999975E-2</v>
      </c>
      <c r="G26" t="s">
        <v>46</v>
      </c>
      <c r="H26" s="16">
        <f>SUM(H34:H36)</f>
        <v>1411677</v>
      </c>
      <c r="I26" s="4">
        <f t="shared" si="1"/>
        <v>0.30753942448648008</v>
      </c>
    </row>
    <row r="27" spans="2:9" ht="14.4" x14ac:dyDescent="0.3">
      <c r="B27" s="41" t="s">
        <v>47</v>
      </c>
      <c r="C27" s="42">
        <f>SUM(C13:C26)</f>
        <v>1</v>
      </c>
      <c r="D27" s="43">
        <f>SUM(D13:D26)</f>
        <v>1</v>
      </c>
      <c r="E27" s="44"/>
      <c r="H27" s="16"/>
    </row>
    <row r="28" spans="2:9" ht="14.4" x14ac:dyDescent="0.3">
      <c r="H28" s="16"/>
    </row>
    <row r="29" spans="2:9" ht="14.4" x14ac:dyDescent="0.3">
      <c r="H29" s="16"/>
    </row>
    <row r="30" spans="2:9" ht="14.4" x14ac:dyDescent="0.3">
      <c r="H30" s="16"/>
    </row>
    <row r="31" spans="2:9" ht="14.4" x14ac:dyDescent="0.3">
      <c r="G31" t="s">
        <v>48</v>
      </c>
      <c r="H31" s="16">
        <v>113118</v>
      </c>
    </row>
    <row r="32" spans="2:9" ht="14.4" x14ac:dyDescent="0.3">
      <c r="G32" t="s">
        <v>49</v>
      </c>
      <c r="H32" s="16">
        <v>1301493</v>
      </c>
    </row>
    <row r="33" spans="7:8" ht="14.4" x14ac:dyDescent="0.3">
      <c r="G33" t="s">
        <v>50</v>
      </c>
      <c r="H33" s="16">
        <v>209456</v>
      </c>
    </row>
    <row r="34" spans="7:8" ht="14.4" x14ac:dyDescent="0.3">
      <c r="G34" t="s">
        <v>51</v>
      </c>
      <c r="H34" s="16">
        <v>79616</v>
      </c>
    </row>
    <row r="35" spans="7:8" ht="14.4" x14ac:dyDescent="0.3">
      <c r="G35" t="s">
        <v>52</v>
      </c>
      <c r="H35" s="16">
        <v>1046324</v>
      </c>
    </row>
    <row r="36" spans="7:8" ht="14.4" x14ac:dyDescent="0.3">
      <c r="G36" t="s">
        <v>53</v>
      </c>
      <c r="H36" s="16">
        <v>285737</v>
      </c>
    </row>
    <row r="37" spans="7:8" ht="14.4" x14ac:dyDescent="0.3">
      <c r="G37" t="s">
        <v>54</v>
      </c>
      <c r="H37" s="16">
        <v>25600.427783902978</v>
      </c>
    </row>
    <row r="38" spans="7:8" ht="14.4" x14ac:dyDescent="0.3">
      <c r="G38" t="s">
        <v>55</v>
      </c>
      <c r="H38" s="16">
        <v>133075.57221609703</v>
      </c>
    </row>
    <row r="39" spans="7:8" ht="14.4" x14ac:dyDescent="0.3">
      <c r="G39" t="s">
        <v>56</v>
      </c>
      <c r="H39" s="16">
        <v>40414.103335318643</v>
      </c>
    </row>
    <row r="40" spans="7:8" ht="14.4" x14ac:dyDescent="0.3">
      <c r="G40" t="s">
        <v>57</v>
      </c>
      <c r="H40" s="16">
        <v>47766.896664681364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3:O63"/>
  <sheetViews>
    <sheetView workbookViewId="0">
      <selection activeCell="E10" sqref="E10"/>
    </sheetView>
  </sheetViews>
  <sheetFormatPr defaultRowHeight="11.55" customHeight="1" x14ac:dyDescent="0.3"/>
  <cols>
    <col min="2" max="2" width="9.33203125" bestFit="1" customWidth="1"/>
    <col min="3" max="3" width="16.5546875" customWidth="1"/>
    <col min="4" max="4" width="9.33203125" customWidth="1"/>
    <col min="5" max="5" width="10" customWidth="1"/>
    <col min="6" max="6" width="8.5546875" customWidth="1"/>
    <col min="7" max="7" width="8" customWidth="1"/>
    <col min="8" max="8" width="6.5546875" customWidth="1"/>
    <col min="9" max="9" width="6.88671875" customWidth="1"/>
    <col min="10" max="10" width="13.44140625" customWidth="1"/>
    <col min="11" max="11" width="22.109375" customWidth="1"/>
    <col min="12" max="12" width="28" customWidth="1"/>
    <col min="14" max="15" width="18" customWidth="1"/>
  </cols>
  <sheetData>
    <row r="3" spans="2:15" ht="11.55" customHeight="1" x14ac:dyDescent="0.3">
      <c r="B3" s="79" t="s">
        <v>58</v>
      </c>
      <c r="C3" s="80" t="s">
        <v>59</v>
      </c>
      <c r="D3" s="81" t="s">
        <v>60</v>
      </c>
      <c r="E3" s="82" t="s">
        <v>61</v>
      </c>
      <c r="F3" s="82" t="s">
        <v>62</v>
      </c>
      <c r="G3" s="45"/>
      <c r="H3" s="45"/>
      <c r="I3" s="45"/>
      <c r="J3" s="46"/>
      <c r="K3" s="47"/>
      <c r="N3" s="48"/>
      <c r="O3" s="48"/>
    </row>
    <row r="4" spans="2:15" ht="11.55" customHeight="1" x14ac:dyDescent="0.3">
      <c r="B4" s="83">
        <v>46204</v>
      </c>
      <c r="C4" s="84">
        <v>0.02</v>
      </c>
      <c r="D4" s="85">
        <v>1.9E-2</v>
      </c>
      <c r="E4" s="86">
        <v>16000</v>
      </c>
      <c r="F4" s="86">
        <v>18240</v>
      </c>
      <c r="G4" s="49"/>
      <c r="H4" s="49"/>
      <c r="I4" s="49"/>
      <c r="J4" s="49"/>
      <c r="K4" s="4"/>
      <c r="L4" s="47"/>
      <c r="M4" s="47"/>
      <c r="N4" s="16"/>
      <c r="O4" s="16"/>
    </row>
    <row r="5" spans="2:15" ht="11.55" customHeight="1" x14ac:dyDescent="0.3">
      <c r="B5" s="83">
        <v>46235</v>
      </c>
      <c r="C5" s="84">
        <v>0.03</v>
      </c>
      <c r="D5" s="85">
        <v>3.5999999999999997E-2</v>
      </c>
      <c r="E5" s="86">
        <v>32333</v>
      </c>
      <c r="F5" s="86">
        <v>34920</v>
      </c>
      <c r="G5" s="49"/>
      <c r="H5" s="49"/>
      <c r="I5" s="49"/>
      <c r="J5" s="49"/>
      <c r="K5" s="4"/>
      <c r="L5" s="50"/>
      <c r="M5" s="50"/>
      <c r="N5" s="16"/>
      <c r="O5" s="16"/>
    </row>
    <row r="6" spans="2:15" ht="11.55" customHeight="1" x14ac:dyDescent="0.3">
      <c r="B6" s="83">
        <v>46266</v>
      </c>
      <c r="C6" s="84">
        <v>0.05</v>
      </c>
      <c r="D6" s="85">
        <v>5.3999999999999999E-2</v>
      </c>
      <c r="E6" s="86">
        <v>49000</v>
      </c>
      <c r="F6" s="86">
        <v>52920</v>
      </c>
      <c r="G6" s="49"/>
      <c r="H6" s="49"/>
      <c r="I6" s="49"/>
      <c r="J6" s="49"/>
      <c r="K6" s="4"/>
      <c r="N6" s="16"/>
      <c r="O6" s="16"/>
    </row>
    <row r="7" spans="2:15" ht="11.55" customHeight="1" x14ac:dyDescent="0.3">
      <c r="B7" s="83">
        <v>46296</v>
      </c>
      <c r="C7" s="84">
        <v>7.0000000000000007E-2</v>
      </c>
      <c r="D7" s="85">
        <v>7.0999999999999994E-2</v>
      </c>
      <c r="E7" s="86">
        <v>66000</v>
      </c>
      <c r="F7" s="86">
        <v>70290</v>
      </c>
      <c r="G7" s="49"/>
      <c r="H7" s="49"/>
      <c r="I7" s="49"/>
      <c r="J7" s="49"/>
      <c r="K7" s="4"/>
      <c r="N7" s="16"/>
      <c r="O7" s="16"/>
    </row>
    <row r="8" spans="2:15" ht="11.55" customHeight="1" x14ac:dyDescent="0.3">
      <c r="B8" s="83">
        <v>46327</v>
      </c>
      <c r="C8" s="84">
        <v>0.08</v>
      </c>
      <c r="D8" s="85">
        <v>8.7999999999999995E-2</v>
      </c>
      <c r="E8" s="86">
        <v>83333</v>
      </c>
      <c r="F8" s="86">
        <v>88000</v>
      </c>
      <c r="G8" s="49"/>
      <c r="H8" s="49"/>
      <c r="I8" s="49"/>
      <c r="J8" s="49"/>
      <c r="K8" s="4"/>
      <c r="N8" s="16"/>
      <c r="O8" s="16"/>
    </row>
    <row r="9" spans="2:15" ht="11.55" customHeight="1" x14ac:dyDescent="0.3">
      <c r="B9" s="83">
        <v>46357</v>
      </c>
      <c r="C9" s="84">
        <v>0.1</v>
      </c>
      <c r="D9" s="85">
        <v>0.104</v>
      </c>
      <c r="E9" s="86">
        <v>101000</v>
      </c>
      <c r="F9" s="86">
        <v>105040</v>
      </c>
      <c r="G9" s="49"/>
      <c r="H9" s="49"/>
      <c r="I9" s="49"/>
      <c r="J9" s="49"/>
      <c r="K9" s="4"/>
      <c r="N9" s="16"/>
      <c r="O9" s="16"/>
    </row>
    <row r="10" spans="2:15" ht="11.55" customHeight="1" x14ac:dyDescent="0.3">
      <c r="B10" s="83">
        <v>46388</v>
      </c>
      <c r="C10" s="84">
        <v>0.12</v>
      </c>
      <c r="D10" s="87"/>
      <c r="E10" s="87"/>
      <c r="F10" s="87"/>
      <c r="G10" s="49"/>
      <c r="H10" s="49"/>
      <c r="I10" s="49"/>
      <c r="J10" s="49"/>
    </row>
    <row r="11" spans="2:15" ht="11.55" customHeight="1" x14ac:dyDescent="0.3">
      <c r="B11" s="83">
        <v>46419</v>
      </c>
      <c r="C11" s="84">
        <v>0.13</v>
      </c>
      <c r="D11" s="87"/>
      <c r="E11" s="87"/>
      <c r="F11" s="87"/>
      <c r="G11" s="49"/>
      <c r="H11" s="49"/>
      <c r="I11" s="49"/>
      <c r="J11" s="49"/>
    </row>
    <row r="12" spans="2:15" ht="11.55" customHeight="1" x14ac:dyDescent="0.3">
      <c r="B12" s="83">
        <v>46447</v>
      </c>
      <c r="C12" s="84">
        <v>0.15</v>
      </c>
      <c r="D12" s="87"/>
      <c r="E12" s="87"/>
      <c r="F12" s="87"/>
      <c r="G12" s="49"/>
      <c r="H12" s="49"/>
      <c r="I12" s="49"/>
      <c r="J12" s="49"/>
    </row>
    <row r="13" spans="2:15" ht="11.55" customHeight="1" x14ac:dyDescent="0.3">
      <c r="B13" s="83">
        <v>46478</v>
      </c>
      <c r="C13" s="84">
        <v>0.17</v>
      </c>
      <c r="D13" s="87"/>
      <c r="E13" s="87"/>
      <c r="F13" s="87"/>
      <c r="G13" s="49"/>
      <c r="H13" s="49"/>
      <c r="I13" s="49"/>
      <c r="J13" s="49"/>
    </row>
    <row r="14" spans="2:15" ht="11.55" customHeight="1" x14ac:dyDescent="0.3">
      <c r="B14" s="83">
        <v>46508</v>
      </c>
      <c r="C14" s="84">
        <v>0.18</v>
      </c>
      <c r="D14" s="87"/>
      <c r="E14" s="87"/>
      <c r="F14" s="87"/>
      <c r="G14" s="49"/>
      <c r="H14" s="49"/>
      <c r="I14" s="49"/>
      <c r="J14" s="49"/>
    </row>
    <row r="15" spans="2:15" ht="11.55" customHeight="1" x14ac:dyDescent="0.3">
      <c r="B15" s="83">
        <v>46539</v>
      </c>
      <c r="C15" s="84">
        <v>0.2</v>
      </c>
      <c r="D15" s="87"/>
      <c r="E15" s="87"/>
      <c r="F15" s="87"/>
      <c r="G15" s="49"/>
      <c r="H15" s="49"/>
      <c r="I15" s="49"/>
      <c r="J15" s="49"/>
    </row>
    <row r="16" spans="2:15" ht="11.55" customHeight="1" x14ac:dyDescent="0.3">
      <c r="B16" s="83">
        <v>46569</v>
      </c>
      <c r="C16" s="84">
        <v>0.22</v>
      </c>
      <c r="D16" s="87"/>
      <c r="E16" s="87"/>
      <c r="F16" s="87"/>
      <c r="G16" s="49"/>
      <c r="H16" s="49"/>
      <c r="I16" s="49"/>
      <c r="J16" s="49"/>
    </row>
    <row r="17" spans="2:10" ht="11.55" customHeight="1" x14ac:dyDescent="0.3">
      <c r="B17" s="83">
        <v>46600</v>
      </c>
      <c r="C17" s="84">
        <v>0.23</v>
      </c>
      <c r="D17" s="87"/>
      <c r="E17" s="87"/>
      <c r="F17" s="87"/>
      <c r="G17" s="49"/>
      <c r="H17" s="49"/>
      <c r="I17" s="49"/>
      <c r="J17" s="49"/>
    </row>
    <row r="18" spans="2:10" ht="11.55" customHeight="1" x14ac:dyDescent="0.3">
      <c r="B18" s="83">
        <v>46631</v>
      </c>
      <c r="C18" s="84">
        <v>0.25</v>
      </c>
      <c r="D18" s="87"/>
      <c r="E18" s="87"/>
      <c r="F18" s="87"/>
      <c r="G18" s="49"/>
      <c r="H18" s="49"/>
      <c r="I18" s="49"/>
      <c r="J18" s="49"/>
    </row>
    <row r="19" spans="2:10" ht="11.55" customHeight="1" x14ac:dyDescent="0.3">
      <c r="B19" s="83">
        <v>46661</v>
      </c>
      <c r="C19" s="84">
        <v>0.27</v>
      </c>
      <c r="D19" s="87"/>
      <c r="E19" s="87"/>
      <c r="F19" s="87"/>
      <c r="G19" s="49"/>
      <c r="H19" s="49"/>
      <c r="I19" s="49"/>
      <c r="J19" s="49"/>
    </row>
    <row r="20" spans="2:10" ht="11.55" customHeight="1" x14ac:dyDescent="0.3">
      <c r="B20" s="83">
        <v>46692</v>
      </c>
      <c r="C20" s="84">
        <v>0.28000000000000003</v>
      </c>
      <c r="D20" s="87"/>
      <c r="E20" s="87"/>
      <c r="F20" s="87"/>
      <c r="G20" s="49"/>
      <c r="H20" s="49"/>
      <c r="I20" s="49"/>
      <c r="J20" s="49"/>
    </row>
    <row r="21" spans="2:10" ht="11.55" customHeight="1" x14ac:dyDescent="0.3">
      <c r="B21" s="83">
        <v>46722</v>
      </c>
      <c r="C21" s="84">
        <v>0.3</v>
      </c>
      <c r="D21" s="87"/>
      <c r="E21" s="87"/>
      <c r="F21" s="87"/>
      <c r="G21" s="49"/>
      <c r="H21" s="49"/>
      <c r="I21" s="49"/>
      <c r="J21" s="49"/>
    </row>
    <row r="22" spans="2:10" ht="11.55" customHeight="1" x14ac:dyDescent="0.3">
      <c r="B22" s="83">
        <v>46753</v>
      </c>
      <c r="C22" s="84">
        <v>0.32</v>
      </c>
      <c r="D22" s="87"/>
      <c r="E22" s="87"/>
      <c r="F22" s="87"/>
      <c r="G22" s="49"/>
      <c r="H22" s="49"/>
      <c r="I22" s="49"/>
      <c r="J22" s="49"/>
    </row>
    <row r="23" spans="2:10" ht="11.55" customHeight="1" x14ac:dyDescent="0.3">
      <c r="B23" s="83">
        <v>46784</v>
      </c>
      <c r="C23" s="84">
        <v>0.33</v>
      </c>
      <c r="D23" s="87"/>
      <c r="E23" s="87"/>
      <c r="F23" s="87"/>
      <c r="G23" s="49"/>
      <c r="H23" s="49"/>
      <c r="I23" s="49"/>
      <c r="J23" s="49"/>
    </row>
    <row r="24" spans="2:10" ht="11.55" customHeight="1" x14ac:dyDescent="0.3">
      <c r="B24" s="83">
        <v>46813</v>
      </c>
      <c r="C24" s="84">
        <v>0.35</v>
      </c>
      <c r="D24" s="87"/>
      <c r="E24" s="87"/>
      <c r="F24" s="87"/>
      <c r="G24" s="49"/>
      <c r="H24" s="49"/>
      <c r="I24" s="49"/>
      <c r="J24" s="49"/>
    </row>
    <row r="25" spans="2:10" ht="11.55" customHeight="1" x14ac:dyDescent="0.3">
      <c r="B25" s="83">
        <v>46844</v>
      </c>
      <c r="C25" s="84">
        <v>0.37</v>
      </c>
      <c r="D25" s="87"/>
      <c r="E25" s="87"/>
      <c r="F25" s="87"/>
      <c r="G25" s="49"/>
      <c r="H25" s="49"/>
      <c r="I25" s="49"/>
      <c r="J25" s="49"/>
    </row>
    <row r="26" spans="2:10" ht="11.55" customHeight="1" x14ac:dyDescent="0.3">
      <c r="B26" s="83">
        <v>46874</v>
      </c>
      <c r="C26" s="84">
        <v>0.38</v>
      </c>
      <c r="D26" s="87"/>
      <c r="E26" s="87"/>
      <c r="F26" s="87"/>
      <c r="G26" s="49"/>
      <c r="H26" s="49"/>
      <c r="I26" s="49"/>
      <c r="J26" s="49"/>
    </row>
    <row r="27" spans="2:10" ht="11.55" customHeight="1" x14ac:dyDescent="0.3">
      <c r="B27" s="83">
        <v>46905</v>
      </c>
      <c r="C27" s="84">
        <v>0.4</v>
      </c>
      <c r="D27" s="87"/>
      <c r="E27" s="87"/>
      <c r="F27" s="87"/>
      <c r="G27" s="49"/>
      <c r="H27" s="49"/>
      <c r="I27" s="49"/>
      <c r="J27" s="49"/>
    </row>
    <row r="28" spans="2:10" ht="11.55" customHeight="1" x14ac:dyDescent="0.3">
      <c r="B28" s="83">
        <v>46935</v>
      </c>
      <c r="C28" s="84">
        <v>0.42</v>
      </c>
      <c r="D28" s="87"/>
      <c r="E28" s="87"/>
      <c r="F28" s="87"/>
      <c r="G28" s="49"/>
      <c r="H28" s="49"/>
      <c r="I28" s="49"/>
      <c r="J28" s="49"/>
    </row>
    <row r="29" spans="2:10" ht="11.55" customHeight="1" x14ac:dyDescent="0.3">
      <c r="B29" s="83">
        <v>46966</v>
      </c>
      <c r="C29" s="84">
        <v>0.43</v>
      </c>
      <c r="D29" s="87"/>
      <c r="E29" s="87"/>
      <c r="F29" s="87"/>
      <c r="G29" s="49"/>
      <c r="H29" s="49"/>
      <c r="I29" s="49"/>
      <c r="J29" s="49"/>
    </row>
    <row r="30" spans="2:10" ht="11.55" customHeight="1" x14ac:dyDescent="0.3">
      <c r="B30" s="83">
        <v>46997</v>
      </c>
      <c r="C30" s="84">
        <v>0.45</v>
      </c>
      <c r="D30" s="87"/>
      <c r="E30" s="87"/>
      <c r="F30" s="87"/>
      <c r="G30" s="49"/>
      <c r="H30" s="49"/>
      <c r="I30" s="49"/>
      <c r="J30" s="49"/>
    </row>
    <row r="31" spans="2:10" ht="11.55" customHeight="1" x14ac:dyDescent="0.3">
      <c r="B31" s="83">
        <v>47027</v>
      </c>
      <c r="C31" s="84">
        <v>0.47</v>
      </c>
      <c r="D31" s="87"/>
      <c r="E31" s="87"/>
      <c r="F31" s="87"/>
      <c r="G31" s="49"/>
      <c r="H31" s="49"/>
      <c r="I31" s="49"/>
      <c r="J31" s="49"/>
    </row>
    <row r="32" spans="2:10" ht="11.55" customHeight="1" x14ac:dyDescent="0.3">
      <c r="B32" s="83">
        <v>47058</v>
      </c>
      <c r="C32" s="84">
        <v>0.48</v>
      </c>
      <c r="D32" s="87"/>
      <c r="E32" s="87"/>
      <c r="F32" s="87"/>
      <c r="G32" s="49"/>
      <c r="H32" s="49"/>
      <c r="I32" s="49"/>
      <c r="J32" s="49"/>
    </row>
    <row r="33" spans="2:10" ht="11.55" customHeight="1" x14ac:dyDescent="0.3">
      <c r="B33" s="83">
        <v>47088</v>
      </c>
      <c r="C33" s="84">
        <v>0.5</v>
      </c>
      <c r="D33" s="87"/>
      <c r="E33" s="87"/>
      <c r="F33" s="87"/>
      <c r="G33" s="49"/>
      <c r="H33" s="49"/>
      <c r="I33" s="49"/>
      <c r="J33" s="49"/>
    </row>
    <row r="34" spans="2:10" ht="11.55" customHeight="1" x14ac:dyDescent="0.3">
      <c r="B34" s="83">
        <v>47119</v>
      </c>
      <c r="C34" s="84">
        <v>0.52</v>
      </c>
      <c r="D34" s="87"/>
      <c r="E34" s="87"/>
      <c r="F34" s="87"/>
      <c r="G34" s="49"/>
      <c r="H34" s="49"/>
      <c r="I34" s="49"/>
      <c r="J34" s="49"/>
    </row>
    <row r="35" spans="2:10" ht="11.55" customHeight="1" x14ac:dyDescent="0.3">
      <c r="B35" s="83">
        <v>47150</v>
      </c>
      <c r="C35" s="84">
        <v>0.53</v>
      </c>
      <c r="D35" s="87"/>
      <c r="E35" s="87"/>
      <c r="F35" s="87"/>
      <c r="G35" s="49"/>
      <c r="H35" s="49"/>
      <c r="I35" s="49"/>
      <c r="J35" s="49"/>
    </row>
    <row r="36" spans="2:10" ht="11.55" customHeight="1" x14ac:dyDescent="0.3">
      <c r="B36" s="83">
        <v>47178</v>
      </c>
      <c r="C36" s="84">
        <v>0.55000000000000004</v>
      </c>
      <c r="D36" s="87"/>
      <c r="E36" s="87"/>
      <c r="F36" s="87"/>
      <c r="G36" s="49"/>
      <c r="H36" s="49"/>
      <c r="I36" s="49"/>
      <c r="J36" s="49"/>
    </row>
    <row r="37" spans="2:10" ht="11.55" customHeight="1" x14ac:dyDescent="0.3">
      <c r="B37" s="83">
        <v>47209</v>
      </c>
      <c r="C37" s="84">
        <v>0.56999999999999995</v>
      </c>
      <c r="D37" s="87"/>
      <c r="E37" s="87"/>
      <c r="F37" s="87"/>
      <c r="G37" s="49"/>
      <c r="H37" s="49"/>
      <c r="I37" s="49"/>
      <c r="J37" s="49"/>
    </row>
    <row r="38" spans="2:10" ht="11.55" customHeight="1" x14ac:dyDescent="0.3">
      <c r="B38" s="83">
        <v>47239</v>
      </c>
      <c r="C38" s="84">
        <v>0.57999999999999996</v>
      </c>
      <c r="D38" s="87"/>
      <c r="E38" s="87"/>
      <c r="F38" s="87"/>
      <c r="G38" s="49"/>
      <c r="H38" s="49"/>
      <c r="I38" s="49"/>
      <c r="J38" s="49"/>
    </row>
    <row r="39" spans="2:10" ht="11.55" customHeight="1" x14ac:dyDescent="0.3">
      <c r="B39" s="83">
        <v>47270</v>
      </c>
      <c r="C39" s="84">
        <v>0.6</v>
      </c>
      <c r="D39" s="87"/>
      <c r="E39" s="87"/>
      <c r="F39" s="87"/>
      <c r="G39" s="49"/>
      <c r="H39" s="49"/>
      <c r="I39" s="49"/>
      <c r="J39" s="49"/>
    </row>
    <row r="40" spans="2:10" ht="11.55" customHeight="1" x14ac:dyDescent="0.3">
      <c r="B40" s="83">
        <v>47300</v>
      </c>
      <c r="C40" s="84">
        <v>0.62</v>
      </c>
      <c r="D40" s="87"/>
      <c r="E40" s="87"/>
      <c r="F40" s="87"/>
      <c r="G40" s="49"/>
      <c r="H40" s="49"/>
      <c r="I40" s="49"/>
      <c r="J40" s="49"/>
    </row>
    <row r="41" spans="2:10" ht="11.55" customHeight="1" x14ac:dyDescent="0.3">
      <c r="B41" s="83">
        <v>47331</v>
      </c>
      <c r="C41" s="84">
        <v>0.63</v>
      </c>
      <c r="D41" s="87"/>
      <c r="E41" s="87"/>
      <c r="F41" s="87"/>
      <c r="G41" s="49"/>
      <c r="H41" s="49"/>
      <c r="I41" s="49"/>
      <c r="J41" s="49"/>
    </row>
    <row r="42" spans="2:10" ht="14.4" x14ac:dyDescent="0.3">
      <c r="B42" s="83">
        <v>47362</v>
      </c>
      <c r="C42" s="84">
        <v>0.65</v>
      </c>
      <c r="D42" s="87"/>
      <c r="E42" s="87"/>
      <c r="F42" s="87"/>
      <c r="G42" s="49"/>
      <c r="H42" s="49"/>
      <c r="I42" s="49"/>
      <c r="J42" s="49"/>
    </row>
    <row r="43" spans="2:10" ht="14.4" x14ac:dyDescent="0.3">
      <c r="B43" s="83">
        <v>47392</v>
      </c>
      <c r="C43" s="84">
        <v>0.67</v>
      </c>
      <c r="D43" s="87"/>
      <c r="E43" s="87"/>
      <c r="F43" s="87"/>
      <c r="G43" s="49"/>
      <c r="H43" s="49"/>
      <c r="I43" s="49"/>
      <c r="J43" s="49"/>
    </row>
    <row r="44" spans="2:10" ht="14.4" x14ac:dyDescent="0.3">
      <c r="B44" s="83">
        <v>47423</v>
      </c>
      <c r="C44" s="84">
        <v>0.68</v>
      </c>
      <c r="D44" s="87"/>
      <c r="E44" s="87"/>
      <c r="F44" s="87"/>
      <c r="G44" s="49"/>
      <c r="H44" s="49"/>
      <c r="I44" s="49"/>
      <c r="J44" s="49"/>
    </row>
    <row r="45" spans="2:10" ht="14.4" x14ac:dyDescent="0.3">
      <c r="B45" s="83">
        <v>47453</v>
      </c>
      <c r="C45" s="84">
        <v>0.7</v>
      </c>
      <c r="D45" s="87"/>
      <c r="E45" s="87"/>
      <c r="F45" s="87"/>
      <c r="G45" s="49"/>
      <c r="H45" s="49"/>
      <c r="I45" s="49"/>
      <c r="J45" s="49"/>
    </row>
    <row r="46" spans="2:10" ht="14.4" x14ac:dyDescent="0.3">
      <c r="B46" s="83">
        <v>47484</v>
      </c>
      <c r="C46" s="84">
        <v>0.72</v>
      </c>
      <c r="D46" s="87"/>
      <c r="E46" s="87"/>
      <c r="F46" s="87"/>
      <c r="G46" s="49"/>
      <c r="H46" s="49"/>
      <c r="I46" s="49"/>
      <c r="J46" s="49"/>
    </row>
    <row r="47" spans="2:10" ht="14.4" x14ac:dyDescent="0.3">
      <c r="B47" s="83">
        <v>47515</v>
      </c>
      <c r="C47" s="84">
        <v>0.73</v>
      </c>
      <c r="D47" s="87"/>
      <c r="E47" s="87"/>
      <c r="F47" s="87"/>
      <c r="G47" s="49"/>
      <c r="H47" s="49"/>
      <c r="I47" s="49"/>
      <c r="J47" s="49"/>
    </row>
    <row r="48" spans="2:10" ht="14.4" x14ac:dyDescent="0.3">
      <c r="B48" s="83">
        <v>47543</v>
      </c>
      <c r="C48" s="84">
        <v>0.75</v>
      </c>
      <c r="D48" s="87"/>
      <c r="E48" s="87"/>
      <c r="F48" s="87"/>
      <c r="G48" s="49"/>
      <c r="H48" s="49"/>
      <c r="I48" s="49"/>
      <c r="J48" s="49"/>
    </row>
    <row r="49" spans="2:10" ht="14.4" x14ac:dyDescent="0.3">
      <c r="B49" s="83">
        <v>47574</v>
      </c>
      <c r="C49" s="84">
        <v>0.77</v>
      </c>
      <c r="D49" s="87"/>
      <c r="E49" s="87"/>
      <c r="F49" s="87"/>
      <c r="G49" s="49"/>
      <c r="H49" s="49"/>
      <c r="I49" s="49"/>
      <c r="J49" s="49"/>
    </row>
    <row r="50" spans="2:10" ht="14.4" x14ac:dyDescent="0.3">
      <c r="B50" s="83">
        <v>47604</v>
      </c>
      <c r="C50" s="84">
        <v>0.78</v>
      </c>
      <c r="D50" s="87"/>
      <c r="E50" s="87"/>
      <c r="F50" s="87"/>
      <c r="G50" s="49"/>
      <c r="H50" s="49"/>
      <c r="I50" s="49"/>
      <c r="J50" s="49"/>
    </row>
    <row r="51" spans="2:10" ht="14.4" x14ac:dyDescent="0.3">
      <c r="B51" s="83">
        <v>47635</v>
      </c>
      <c r="C51" s="84">
        <v>0.8</v>
      </c>
      <c r="D51" s="87"/>
      <c r="E51" s="87"/>
      <c r="F51" s="87"/>
      <c r="G51" s="49"/>
      <c r="H51" s="49"/>
      <c r="I51" s="49"/>
      <c r="J51" s="49"/>
    </row>
    <row r="52" spans="2:10" ht="14.4" x14ac:dyDescent="0.3">
      <c r="B52" s="83">
        <v>47665</v>
      </c>
      <c r="C52" s="84">
        <v>0.82</v>
      </c>
      <c r="D52" s="87"/>
      <c r="E52" s="87"/>
      <c r="F52" s="87"/>
      <c r="G52" s="49"/>
      <c r="H52" s="49"/>
      <c r="I52" s="49"/>
      <c r="J52" s="49"/>
    </row>
    <row r="53" spans="2:10" ht="14.4" x14ac:dyDescent="0.3">
      <c r="B53" s="83">
        <v>47696</v>
      </c>
      <c r="C53" s="84">
        <v>0.83</v>
      </c>
      <c r="D53" s="87"/>
      <c r="E53" s="87"/>
      <c r="F53" s="87"/>
      <c r="G53" s="49"/>
      <c r="H53" s="49"/>
      <c r="I53" s="49"/>
      <c r="J53" s="49"/>
    </row>
    <row r="54" spans="2:10" ht="14.4" x14ac:dyDescent="0.3">
      <c r="B54" s="83">
        <v>47727</v>
      </c>
      <c r="C54" s="84">
        <v>0.85</v>
      </c>
      <c r="D54" s="87"/>
      <c r="E54" s="87"/>
      <c r="F54" s="87"/>
      <c r="G54" s="49"/>
      <c r="H54" s="49"/>
      <c r="I54" s="49"/>
      <c r="J54" s="49"/>
    </row>
    <row r="55" spans="2:10" ht="14.4" x14ac:dyDescent="0.3">
      <c r="B55" s="83">
        <v>47757</v>
      </c>
      <c r="C55" s="84">
        <v>0.87</v>
      </c>
      <c r="D55" s="87"/>
      <c r="E55" s="87"/>
      <c r="F55" s="87"/>
      <c r="G55" s="49"/>
      <c r="H55" s="49"/>
      <c r="I55" s="49"/>
      <c r="J55" s="49"/>
    </row>
    <row r="56" spans="2:10" ht="14.4" x14ac:dyDescent="0.3">
      <c r="B56" s="83">
        <v>47788</v>
      </c>
      <c r="C56" s="84">
        <v>0.88</v>
      </c>
      <c r="D56" s="87"/>
      <c r="E56" s="87"/>
      <c r="F56" s="87"/>
      <c r="G56" s="49"/>
      <c r="H56" s="49"/>
      <c r="I56" s="49"/>
      <c r="J56" s="49"/>
    </row>
    <row r="57" spans="2:10" ht="14.4" x14ac:dyDescent="0.3">
      <c r="B57" s="83">
        <v>47818</v>
      </c>
      <c r="C57" s="84">
        <v>0.9</v>
      </c>
      <c r="D57" s="87"/>
      <c r="E57" s="87"/>
      <c r="F57" s="87"/>
      <c r="G57" s="49"/>
      <c r="H57" s="49"/>
      <c r="I57" s="49"/>
      <c r="J57" s="49"/>
    </row>
    <row r="58" spans="2:10" ht="14.4" x14ac:dyDescent="0.3">
      <c r="B58" s="83">
        <v>47849</v>
      </c>
      <c r="C58" s="84">
        <v>0.92</v>
      </c>
      <c r="D58" s="87"/>
      <c r="E58" s="87"/>
      <c r="F58" s="87"/>
      <c r="G58" s="49"/>
      <c r="H58" s="49"/>
      <c r="I58" s="49"/>
      <c r="J58" s="49"/>
    </row>
    <row r="59" spans="2:10" ht="14.4" x14ac:dyDescent="0.3">
      <c r="B59" s="83">
        <v>47880</v>
      </c>
      <c r="C59" s="84">
        <v>0.93</v>
      </c>
      <c r="D59" s="87"/>
      <c r="E59" s="87"/>
      <c r="F59" s="87"/>
      <c r="G59" s="49"/>
      <c r="H59" s="49"/>
      <c r="I59" s="49"/>
      <c r="J59" s="49"/>
    </row>
    <row r="60" spans="2:10" ht="14.4" x14ac:dyDescent="0.3">
      <c r="B60" s="83">
        <v>47908</v>
      </c>
      <c r="C60" s="84">
        <v>0.95</v>
      </c>
      <c r="D60" s="87"/>
      <c r="E60" s="87"/>
      <c r="F60" s="87"/>
      <c r="G60" s="49"/>
      <c r="H60" s="49"/>
      <c r="I60" s="49"/>
      <c r="J60" s="49"/>
    </row>
    <row r="61" spans="2:10" ht="14.4" x14ac:dyDescent="0.3">
      <c r="B61" s="83">
        <v>47939</v>
      </c>
      <c r="C61" s="84">
        <v>0.97</v>
      </c>
      <c r="D61" s="87"/>
      <c r="E61" s="87"/>
      <c r="F61" s="87"/>
      <c r="G61" s="49"/>
      <c r="H61" s="49"/>
      <c r="I61" s="49"/>
      <c r="J61" s="49"/>
    </row>
    <row r="62" spans="2:10" ht="14.4" x14ac:dyDescent="0.3">
      <c r="B62" s="83">
        <v>47969</v>
      </c>
      <c r="C62" s="84">
        <v>0.98</v>
      </c>
      <c r="D62" s="87"/>
      <c r="E62" s="87"/>
      <c r="F62" s="87"/>
      <c r="G62" s="49"/>
      <c r="H62" s="49"/>
      <c r="I62" s="49"/>
      <c r="J62" s="49"/>
    </row>
    <row r="63" spans="2:10" ht="14.4" x14ac:dyDescent="0.3">
      <c r="B63" s="83">
        <v>48000</v>
      </c>
      <c r="C63" s="84">
        <v>1</v>
      </c>
      <c r="D63" s="87"/>
      <c r="E63" s="87"/>
      <c r="F63" s="87"/>
      <c r="G63" s="49"/>
      <c r="H63" s="49"/>
      <c r="I63" s="49"/>
      <c r="J63" s="49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3:M19"/>
  <sheetViews>
    <sheetView workbookViewId="0"/>
  </sheetViews>
  <sheetFormatPr defaultRowHeight="11.55" customHeight="1" x14ac:dyDescent="0.3"/>
  <cols>
    <col min="2" max="2" width="9.109375" customWidth="1"/>
    <col min="3" max="3" width="25" customWidth="1"/>
    <col min="4" max="4" width="20.109375" customWidth="1"/>
    <col min="5" max="5" width="22.5546875" customWidth="1"/>
    <col min="6" max="6" width="16.109375" customWidth="1"/>
  </cols>
  <sheetData>
    <row r="3" spans="2:13" ht="46.05" customHeight="1" x14ac:dyDescent="0.3">
      <c r="B3" s="51" t="s">
        <v>58</v>
      </c>
      <c r="C3" s="51" t="s">
        <v>117</v>
      </c>
      <c r="D3" s="51" t="s">
        <v>118</v>
      </c>
      <c r="E3" s="51" t="s">
        <v>119</v>
      </c>
      <c r="H3" s="51" t="s">
        <v>58</v>
      </c>
      <c r="I3" s="52" t="s">
        <v>120</v>
      </c>
      <c r="J3" s="52" t="s">
        <v>121</v>
      </c>
      <c r="K3" s="52" t="s">
        <v>122</v>
      </c>
      <c r="L3" s="52" t="s">
        <v>123</v>
      </c>
      <c r="M3" s="52" t="s">
        <v>124</v>
      </c>
    </row>
    <row r="4" spans="2:13" ht="14.4" x14ac:dyDescent="0.3">
      <c r="B4" s="53">
        <v>46204</v>
      </c>
      <c r="C4" s="54">
        <v>0.06</v>
      </c>
      <c r="D4" s="55">
        <v>0.9</v>
      </c>
      <c r="E4" s="54">
        <v>0.04</v>
      </c>
      <c r="H4" s="56">
        <v>46229</v>
      </c>
      <c r="I4" s="57">
        <v>1200</v>
      </c>
      <c r="J4" s="58">
        <v>0.57999999999999996</v>
      </c>
      <c r="K4" s="58">
        <v>0.78</v>
      </c>
      <c r="L4" s="59">
        <v>6.8</v>
      </c>
      <c r="M4" s="57">
        <v>1200</v>
      </c>
    </row>
    <row r="5" spans="2:13" ht="14.4" x14ac:dyDescent="0.3">
      <c r="B5" s="53">
        <v>46235</v>
      </c>
      <c r="C5" s="54">
        <v>0.08</v>
      </c>
      <c r="D5" s="55">
        <v>0.88</v>
      </c>
      <c r="E5" s="54">
        <v>0.04</v>
      </c>
      <c r="H5" s="56">
        <v>46260</v>
      </c>
      <c r="I5" s="57">
        <v>1450</v>
      </c>
      <c r="J5" s="58">
        <v>0.55000000000000004</v>
      </c>
      <c r="K5" s="58">
        <v>0.75</v>
      </c>
      <c r="L5" s="59">
        <v>6.6</v>
      </c>
      <c r="M5" s="59">
        <v>250</v>
      </c>
    </row>
    <row r="6" spans="2:13" ht="14.4" x14ac:dyDescent="0.3">
      <c r="B6" s="53">
        <v>46266</v>
      </c>
      <c r="C6" s="54">
        <v>0.1</v>
      </c>
      <c r="D6" s="55">
        <v>0.86</v>
      </c>
      <c r="E6" s="54">
        <v>0.04</v>
      </c>
      <c r="H6" s="56">
        <v>46291</v>
      </c>
      <c r="I6" s="57">
        <v>1750</v>
      </c>
      <c r="J6" s="58">
        <v>0.51</v>
      </c>
      <c r="K6" s="58">
        <v>0.72</v>
      </c>
      <c r="L6" s="59">
        <v>6.4</v>
      </c>
      <c r="M6" s="59">
        <v>300</v>
      </c>
    </row>
    <row r="7" spans="2:13" ht="14.4" x14ac:dyDescent="0.3">
      <c r="B7" s="53">
        <v>46296</v>
      </c>
      <c r="C7" s="54">
        <v>0.12</v>
      </c>
      <c r="D7" s="55">
        <v>0.84</v>
      </c>
      <c r="E7" s="54">
        <v>0.04</v>
      </c>
      <c r="H7" s="56">
        <v>46321</v>
      </c>
      <c r="I7" s="57">
        <v>2100</v>
      </c>
      <c r="J7" s="58">
        <v>0.47</v>
      </c>
      <c r="K7" s="58">
        <v>0.68</v>
      </c>
      <c r="L7" s="59">
        <v>6.2</v>
      </c>
      <c r="M7" s="59">
        <v>350</v>
      </c>
    </row>
    <row r="8" spans="2:13" ht="14.4" x14ac:dyDescent="0.3">
      <c r="B8" s="53">
        <v>46327</v>
      </c>
      <c r="C8" s="54">
        <v>0.14000000000000001</v>
      </c>
      <c r="D8" s="55">
        <v>0.82</v>
      </c>
      <c r="E8" s="54">
        <v>0.04</v>
      </c>
      <c r="H8" s="56">
        <v>46352</v>
      </c>
      <c r="I8" s="57">
        <v>2500</v>
      </c>
      <c r="J8" s="58">
        <v>0.43</v>
      </c>
      <c r="K8" s="58">
        <v>0.64</v>
      </c>
      <c r="L8" s="59">
        <v>6</v>
      </c>
      <c r="M8" s="59">
        <v>400</v>
      </c>
    </row>
    <row r="9" spans="2:13" ht="14.4" x14ac:dyDescent="0.3">
      <c r="B9" s="53">
        <v>46357</v>
      </c>
      <c r="C9" s="54">
        <v>0.16</v>
      </c>
      <c r="D9" s="55">
        <v>0.8</v>
      </c>
      <c r="E9" s="54">
        <v>0.04</v>
      </c>
      <c r="H9" s="56">
        <v>46382</v>
      </c>
      <c r="I9" s="60">
        <v>2950</v>
      </c>
      <c r="J9" s="61">
        <v>0.39</v>
      </c>
      <c r="K9" s="61">
        <v>0.6</v>
      </c>
      <c r="L9" s="52">
        <v>5.8</v>
      </c>
      <c r="M9" s="52">
        <v>450</v>
      </c>
    </row>
    <row r="10" spans="2:13" ht="14.4" x14ac:dyDescent="0.3">
      <c r="B10" s="53"/>
      <c r="C10" s="62"/>
      <c r="D10" s="62"/>
      <c r="E10" s="62"/>
    </row>
    <row r="13" spans="2:13" ht="46.05" customHeight="1" x14ac:dyDescent="0.3">
      <c r="B13" s="51" t="s">
        <v>58</v>
      </c>
      <c r="C13" s="52" t="s">
        <v>125</v>
      </c>
      <c r="D13" s="52" t="s">
        <v>126</v>
      </c>
      <c r="E13" s="52" t="s">
        <v>127</v>
      </c>
      <c r="F13" s="52" t="s">
        <v>128</v>
      </c>
      <c r="G13" s="52"/>
      <c r="H13" s="52"/>
      <c r="I13" s="52"/>
    </row>
    <row r="14" spans="2:13" ht="14.4" x14ac:dyDescent="0.3">
      <c r="B14" s="63">
        <v>46204</v>
      </c>
      <c r="C14" s="59" t="s">
        <v>129</v>
      </c>
      <c r="D14" s="59" t="s">
        <v>130</v>
      </c>
      <c r="E14" s="57">
        <v>8200</v>
      </c>
      <c r="F14" s="59" t="s">
        <v>131</v>
      </c>
      <c r="G14" s="58"/>
      <c r="H14" s="58"/>
      <c r="I14" s="58"/>
    </row>
    <row r="15" spans="2:13" ht="14.4" x14ac:dyDescent="0.3">
      <c r="B15" s="63">
        <v>46235</v>
      </c>
      <c r="C15" s="59" t="s">
        <v>132</v>
      </c>
      <c r="D15" s="64">
        <v>0.01</v>
      </c>
      <c r="E15" s="57">
        <v>8450</v>
      </c>
      <c r="F15" s="59" t="s">
        <v>133</v>
      </c>
      <c r="G15" s="58"/>
      <c r="H15" s="58"/>
      <c r="I15" s="58"/>
    </row>
    <row r="16" spans="2:13" ht="14.4" x14ac:dyDescent="0.3">
      <c r="B16" s="63">
        <v>46266</v>
      </c>
      <c r="C16" s="59" t="s">
        <v>134</v>
      </c>
      <c r="D16" s="64">
        <v>0.01</v>
      </c>
      <c r="E16" s="57">
        <v>8750</v>
      </c>
      <c r="F16" s="59" t="s">
        <v>135</v>
      </c>
      <c r="G16" s="58"/>
      <c r="H16" s="58"/>
      <c r="I16" s="58"/>
    </row>
    <row r="17" spans="2:9" ht="14.4" x14ac:dyDescent="0.3">
      <c r="B17" s="63">
        <v>46296</v>
      </c>
      <c r="C17" s="59" t="s">
        <v>136</v>
      </c>
      <c r="D17" s="64">
        <v>1.4999999999999999E-2</v>
      </c>
      <c r="E17" s="57">
        <v>9050</v>
      </c>
      <c r="F17" s="59" t="s">
        <v>137</v>
      </c>
      <c r="G17" s="58"/>
      <c r="H17" s="58"/>
      <c r="I17" s="58"/>
    </row>
    <row r="18" spans="2:9" ht="14.4" x14ac:dyDescent="0.3">
      <c r="B18" s="63">
        <v>46327</v>
      </c>
      <c r="C18" s="59" t="s">
        <v>138</v>
      </c>
      <c r="D18" s="64">
        <v>1.9E-2</v>
      </c>
      <c r="E18" s="57">
        <v>9400</v>
      </c>
      <c r="F18" s="59" t="s">
        <v>139</v>
      </c>
      <c r="G18" s="58"/>
      <c r="H18" s="58"/>
      <c r="I18" s="58"/>
    </row>
    <row r="19" spans="2:9" ht="14.4" x14ac:dyDescent="0.3">
      <c r="B19" s="63">
        <v>46357</v>
      </c>
      <c r="C19" s="52" t="s">
        <v>140</v>
      </c>
      <c r="D19" s="64">
        <v>1.9E-2</v>
      </c>
      <c r="E19" s="60">
        <v>9800</v>
      </c>
      <c r="F19" s="52" t="s">
        <v>141</v>
      </c>
      <c r="G19" s="61"/>
      <c r="H19" s="61"/>
      <c r="I19" s="6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GH193"/>
  <sheetViews>
    <sheetView workbookViewId="0"/>
  </sheetViews>
  <sheetFormatPr defaultRowHeight="11.55" customHeight="1" x14ac:dyDescent="0.3"/>
  <cols>
    <col min="2" max="2" width="9.109375" customWidth="1"/>
    <col min="3" max="4" width="9.44140625" customWidth="1"/>
    <col min="5" max="7" width="8.88671875" customWidth="1"/>
    <col min="8" max="10" width="9.109375" customWidth="1"/>
    <col min="11" max="19" width="8.88671875" customWidth="1"/>
    <col min="20" max="22" width="9.109375" customWidth="1"/>
    <col min="23" max="31" width="8.88671875" customWidth="1"/>
    <col min="32" max="34" width="9.109375" customWidth="1"/>
    <col min="35" max="43" width="8.88671875" customWidth="1"/>
    <col min="44" max="46" width="9.109375" customWidth="1"/>
    <col min="47" max="55" width="8.88671875" customWidth="1"/>
    <col min="56" max="58" width="9.109375" customWidth="1"/>
    <col min="59" max="67" width="8.88671875" customWidth="1"/>
    <col min="68" max="70" width="9.109375" customWidth="1"/>
    <col min="71" max="79" width="8.88671875" customWidth="1"/>
    <col min="80" max="82" width="9.109375" customWidth="1"/>
    <col min="83" max="91" width="8.88671875" customWidth="1"/>
    <col min="92" max="94" width="9.109375" customWidth="1"/>
    <col min="95" max="103" width="8.88671875" customWidth="1"/>
    <col min="104" max="106" width="9.109375" customWidth="1"/>
    <col min="107" max="115" width="8.88671875" customWidth="1"/>
    <col min="116" max="118" width="9.109375" customWidth="1"/>
    <col min="119" max="127" width="8.88671875" customWidth="1"/>
    <col min="128" max="130" width="9.109375" customWidth="1"/>
    <col min="131" max="139" width="8.88671875" customWidth="1"/>
    <col min="140" max="142" width="9.109375" customWidth="1"/>
    <col min="143" max="151" width="8.88671875" customWidth="1"/>
    <col min="152" max="154" width="9.109375" customWidth="1"/>
    <col min="155" max="163" width="8.88671875" customWidth="1"/>
    <col min="164" max="166" width="9.109375" customWidth="1"/>
    <col min="167" max="175" width="8.88671875" customWidth="1"/>
    <col min="176" max="178" width="9.109375" customWidth="1"/>
    <col min="179" max="187" width="8.88671875" customWidth="1"/>
    <col min="188" max="190" width="9.109375" customWidth="1"/>
  </cols>
  <sheetData>
    <row r="1" spans="2:190" ht="11.55" customHeight="1" x14ac:dyDescent="0.3">
      <c r="B1" s="65" t="s">
        <v>142</v>
      </c>
      <c r="G1" s="65" t="s">
        <v>143</v>
      </c>
    </row>
    <row r="3" spans="2:190" ht="11.55" customHeight="1" x14ac:dyDescent="0.3">
      <c r="B3" t="s">
        <v>58</v>
      </c>
      <c r="C3" t="s">
        <v>144</v>
      </c>
      <c r="D3" t="s">
        <v>145</v>
      </c>
      <c r="E3" s="63"/>
      <c r="F3" s="63"/>
      <c r="G3" t="s">
        <v>58</v>
      </c>
      <c r="H3" t="s">
        <v>146</v>
      </c>
      <c r="I3" s="63" t="s">
        <v>147</v>
      </c>
      <c r="J3" s="63"/>
      <c r="K3" s="63"/>
      <c r="L3" s="63"/>
      <c r="M3" s="63"/>
      <c r="N3" s="63"/>
      <c r="O3" s="63"/>
      <c r="P3" s="63"/>
      <c r="Q3" s="63"/>
      <c r="R3" s="63"/>
      <c r="S3" s="63"/>
      <c r="T3" s="63"/>
      <c r="U3" s="63"/>
      <c r="V3" s="63"/>
      <c r="W3" s="63"/>
      <c r="X3" s="63"/>
      <c r="Y3" s="63"/>
      <c r="Z3" s="63"/>
      <c r="AA3" s="63"/>
      <c r="AB3" s="63"/>
      <c r="AC3" s="63"/>
      <c r="AD3" s="63"/>
      <c r="AE3" s="63"/>
      <c r="AF3" s="63"/>
      <c r="AG3" s="63"/>
      <c r="AH3" s="63"/>
      <c r="AI3" s="63"/>
      <c r="AJ3" s="63"/>
      <c r="AK3" s="63"/>
      <c r="AL3" s="63"/>
      <c r="AM3" s="63"/>
      <c r="AN3" s="63"/>
      <c r="AO3" s="63"/>
      <c r="AP3" s="63"/>
      <c r="AQ3" s="63"/>
      <c r="AR3" s="63"/>
      <c r="AS3" s="63"/>
      <c r="AT3" s="63"/>
      <c r="AU3" s="63"/>
      <c r="AV3" s="63"/>
      <c r="AW3" s="63"/>
      <c r="AX3" s="63"/>
      <c r="AY3" s="63"/>
      <c r="AZ3" s="63"/>
      <c r="BA3" s="63"/>
      <c r="BB3" s="63"/>
      <c r="BC3" s="63"/>
      <c r="BD3" s="63"/>
      <c r="BE3" s="63"/>
      <c r="BF3" s="63"/>
      <c r="BG3" s="63"/>
      <c r="BH3" s="63"/>
      <c r="BI3" s="63"/>
      <c r="BJ3" s="63"/>
      <c r="BK3" s="63"/>
      <c r="BL3" s="63"/>
      <c r="BM3" s="63"/>
      <c r="BN3" s="63"/>
      <c r="BO3" s="63"/>
      <c r="BP3" s="63"/>
      <c r="BQ3" s="63"/>
      <c r="BR3" s="63"/>
      <c r="BS3" s="63"/>
      <c r="BT3" s="63"/>
      <c r="BU3" s="63"/>
      <c r="BV3" s="63"/>
      <c r="BW3" s="63"/>
      <c r="BX3" s="63"/>
      <c r="BY3" s="63"/>
      <c r="BZ3" s="63"/>
      <c r="CA3" s="63"/>
      <c r="CB3" s="63"/>
      <c r="CC3" s="63"/>
      <c r="CD3" s="63"/>
      <c r="CE3" s="63"/>
      <c r="CF3" s="63"/>
      <c r="CG3" s="63"/>
      <c r="CH3" s="63"/>
      <c r="CI3" s="63"/>
      <c r="CJ3" s="63"/>
      <c r="CK3" s="63"/>
      <c r="CL3" s="63"/>
      <c r="CM3" s="63"/>
      <c r="CN3" s="63"/>
      <c r="CO3" s="63"/>
      <c r="CP3" s="63"/>
      <c r="CQ3" s="63"/>
      <c r="CR3" s="63"/>
      <c r="CS3" s="63"/>
      <c r="CT3" s="63"/>
      <c r="CU3" s="63"/>
      <c r="CV3" s="63"/>
      <c r="CW3" s="63"/>
      <c r="CX3" s="63"/>
      <c r="CY3" s="63"/>
      <c r="CZ3" s="63"/>
      <c r="DA3" s="63"/>
      <c r="DB3" s="63"/>
      <c r="DC3" s="63"/>
      <c r="DD3" s="63"/>
      <c r="DE3" s="63"/>
      <c r="DF3" s="63"/>
      <c r="DG3" s="63"/>
      <c r="DH3" s="63"/>
      <c r="DI3" s="63"/>
      <c r="DJ3" s="63"/>
      <c r="DK3" s="63"/>
      <c r="DL3" s="63"/>
      <c r="DM3" s="63"/>
      <c r="DN3" s="63"/>
      <c r="DO3" s="63"/>
      <c r="DP3" s="63"/>
      <c r="DQ3" s="63"/>
      <c r="DR3" s="63"/>
      <c r="DS3" s="63"/>
      <c r="DT3" s="63"/>
      <c r="DU3" s="63"/>
      <c r="DV3" s="63"/>
      <c r="DW3" s="63"/>
      <c r="DX3" s="63"/>
      <c r="DY3" s="63"/>
      <c r="DZ3" s="63"/>
      <c r="EA3" s="63"/>
      <c r="EB3" s="63"/>
      <c r="EC3" s="63"/>
      <c r="ED3" s="63"/>
      <c r="EE3" s="63"/>
      <c r="EF3" s="63"/>
      <c r="EG3" s="63"/>
      <c r="EH3" s="63"/>
      <c r="EI3" s="63"/>
      <c r="EJ3" s="63"/>
      <c r="EK3" s="63"/>
      <c r="EL3" s="63"/>
      <c r="EM3" s="63"/>
      <c r="EN3" s="63"/>
      <c r="EO3" s="63"/>
      <c r="EP3" s="63"/>
      <c r="EQ3" s="63"/>
      <c r="ER3" s="63"/>
      <c r="ES3" s="63"/>
      <c r="ET3" s="63"/>
      <c r="EU3" s="63"/>
      <c r="EV3" s="63"/>
      <c r="EW3" s="63"/>
      <c r="EX3" s="63"/>
      <c r="EY3" s="63"/>
      <c r="EZ3" s="63"/>
      <c r="FA3" s="63"/>
      <c r="FB3" s="63"/>
      <c r="FC3" s="63"/>
      <c r="FD3" s="63"/>
      <c r="FE3" s="63"/>
      <c r="FF3" s="63"/>
      <c r="FG3" s="63"/>
      <c r="FH3" s="63"/>
      <c r="FI3" s="63"/>
      <c r="FJ3" s="63"/>
      <c r="FK3" s="63"/>
      <c r="FL3" s="63"/>
      <c r="FM3" s="63"/>
      <c r="FN3" s="63"/>
      <c r="FO3" s="63"/>
      <c r="FP3" s="63"/>
      <c r="FQ3" s="63"/>
      <c r="FR3" s="63"/>
      <c r="FS3" s="63"/>
      <c r="FT3" s="63"/>
      <c r="FU3" s="63"/>
      <c r="FV3" s="63"/>
      <c r="FW3" s="63"/>
      <c r="FX3" s="63"/>
      <c r="FY3" s="63"/>
      <c r="FZ3" s="63"/>
      <c r="GA3" s="63"/>
      <c r="GB3" s="63"/>
      <c r="GC3" s="63"/>
      <c r="GD3" s="63"/>
      <c r="GE3" s="63"/>
      <c r="GF3" s="63"/>
      <c r="GG3" s="63"/>
      <c r="GH3" s="63"/>
    </row>
    <row r="4" spans="2:190" ht="11.55" customHeight="1" x14ac:dyDescent="0.3">
      <c r="B4" s="63">
        <v>46204</v>
      </c>
      <c r="C4" s="66">
        <v>539.53841190905064</v>
      </c>
      <c r="D4" s="66" t="e">
        <f>C4*('Product Uptake'!$M$5/'Product Uptake'!$L$5)</f>
        <v>#DIV/0!</v>
      </c>
      <c r="G4" s="2" t="s">
        <v>148</v>
      </c>
      <c r="H4" s="49">
        <v>1</v>
      </c>
      <c r="I4" s="62">
        <v>1</v>
      </c>
    </row>
    <row r="5" spans="2:190" ht="11.55" customHeight="1" x14ac:dyDescent="0.3">
      <c r="B5" s="63">
        <v>46235</v>
      </c>
      <c r="C5" s="66">
        <v>5259.3225773136091</v>
      </c>
      <c r="D5" s="66" t="e">
        <f>C5*('Product Uptake'!$M$5/'Product Uptake'!$L$5)</f>
        <v>#DIV/0!</v>
      </c>
      <c r="G5" s="2" t="s">
        <v>149</v>
      </c>
      <c r="H5" s="49">
        <v>0.90135151891139398</v>
      </c>
      <c r="I5" s="62">
        <v>0.92</v>
      </c>
    </row>
    <row r="6" spans="2:190" ht="11.55" customHeight="1" x14ac:dyDescent="0.3">
      <c r="B6" s="63">
        <v>46266</v>
      </c>
      <c r="C6" s="66">
        <v>11943.405282109834</v>
      </c>
      <c r="D6" s="66" t="e">
        <f>C6*('Product Uptake'!$M$5/'Product Uptake'!$L$5)</f>
        <v>#DIV/0!</v>
      </c>
      <c r="G6" s="2" t="s">
        <v>150</v>
      </c>
      <c r="H6" s="49">
        <v>0.81886946701274754</v>
      </c>
      <c r="I6" s="62">
        <v>0.83</v>
      </c>
    </row>
    <row r="7" spans="2:190" ht="11.55" customHeight="1" x14ac:dyDescent="0.3">
      <c r="B7" s="63">
        <v>46296</v>
      </c>
      <c r="C7" s="66">
        <v>12288.269203503996</v>
      </c>
      <c r="D7" s="66" t="e">
        <f>C7*('Product Uptake'!$M$5/'Product Uptake'!$L$5)</f>
        <v>#DIV/0!</v>
      </c>
      <c r="G7" s="2" t="s">
        <v>151</v>
      </c>
      <c r="H7" s="49">
        <v>0.73028739681327393</v>
      </c>
      <c r="I7" s="62">
        <v>0.77</v>
      </c>
    </row>
    <row r="8" spans="2:190" ht="11.55" customHeight="1" x14ac:dyDescent="0.3">
      <c r="B8" s="63">
        <v>46327</v>
      </c>
      <c r="C8" s="66">
        <v>14530.162617236987</v>
      </c>
      <c r="D8" s="66" t="e">
        <f>C8*('Product Uptake'!$M$5/'Product Uptake'!$L$5)</f>
        <v>#DIV/0!</v>
      </c>
      <c r="G8" s="2" t="s">
        <v>152</v>
      </c>
      <c r="H8" s="49">
        <v>0.65091647694349852</v>
      </c>
      <c r="I8" s="62">
        <v>0.7</v>
      </c>
    </row>
    <row r="9" spans="2:190" ht="11.55" customHeight="1" x14ac:dyDescent="0.3">
      <c r="B9" s="63">
        <v>46357</v>
      </c>
      <c r="C9" s="66">
        <v>15557.437348143692</v>
      </c>
      <c r="D9" s="66" t="e">
        <f>C9*('Product Uptake'!$M$5/'Product Uptake'!$L$5)</f>
        <v>#DIV/0!</v>
      </c>
      <c r="G9" s="2" t="s">
        <v>153</v>
      </c>
      <c r="H9" s="49">
        <v>0.58245497498580945</v>
      </c>
      <c r="I9" s="62">
        <v>0.65</v>
      </c>
    </row>
    <row r="10" spans="2:190" ht="11.55" customHeight="1" x14ac:dyDescent="0.3">
      <c r="B10" s="63">
        <v>46388</v>
      </c>
      <c r="C10" s="66">
        <v>17982.960788772907</v>
      </c>
      <c r="G10" s="2" t="s">
        <v>63</v>
      </c>
      <c r="H10" s="49">
        <v>0.55787816336179397</v>
      </c>
    </row>
    <row r="11" spans="2:190" ht="11.55" customHeight="1" x14ac:dyDescent="0.3">
      <c r="B11" s="63">
        <v>46419</v>
      </c>
      <c r="C11" s="66">
        <v>21680.969498555165</v>
      </c>
      <c r="G11" s="2" t="s">
        <v>64</v>
      </c>
      <c r="H11" s="49">
        <v>0.53675914613985465</v>
      </c>
    </row>
    <row r="12" spans="2:190" ht="11.55" customHeight="1" x14ac:dyDescent="0.3">
      <c r="B12" s="63">
        <v>46447</v>
      </c>
      <c r="C12" s="66">
        <v>22262.124739157378</v>
      </c>
      <c r="G12" s="2" t="s">
        <v>65</v>
      </c>
      <c r="H12" s="49">
        <v>0.51648945922335654</v>
      </c>
    </row>
    <row r="13" spans="2:190" ht="11.55" customHeight="1" x14ac:dyDescent="0.3">
      <c r="B13" s="63">
        <v>46478</v>
      </c>
      <c r="C13" s="66">
        <v>24010.098480228906</v>
      </c>
      <c r="G13" s="2" t="s">
        <v>66</v>
      </c>
      <c r="H13" s="49">
        <v>0.49835909958900337</v>
      </c>
    </row>
    <row r="14" spans="2:190" ht="11.55" customHeight="1" x14ac:dyDescent="0.3">
      <c r="B14" s="63">
        <v>46508</v>
      </c>
      <c r="C14" s="66">
        <v>24577.437447589858</v>
      </c>
      <c r="G14" s="2" t="s">
        <v>67</v>
      </c>
      <c r="H14" s="49">
        <v>0.48131960314015998</v>
      </c>
    </row>
    <row r="15" spans="2:190" ht="11.55" customHeight="1" x14ac:dyDescent="0.3">
      <c r="B15" s="63">
        <v>46539</v>
      </c>
      <c r="C15" s="66">
        <v>25250.574930145991</v>
      </c>
      <c r="G15" s="2" t="s">
        <v>68</v>
      </c>
      <c r="H15" s="49">
        <v>0.46640327524352176</v>
      </c>
    </row>
    <row r="16" spans="2:190" ht="11.55" customHeight="1" x14ac:dyDescent="0.3">
      <c r="B16" s="63">
        <v>46569</v>
      </c>
      <c r="C16" s="66">
        <v>25981.313510541717</v>
      </c>
      <c r="G16" s="2" t="s">
        <v>69</v>
      </c>
      <c r="H16" s="49">
        <v>0.45375317406651494</v>
      </c>
    </row>
    <row r="17" spans="2:8" ht="11.55" customHeight="1" x14ac:dyDescent="0.3">
      <c r="B17" s="63">
        <v>46600</v>
      </c>
      <c r="C17" s="66">
        <v>26590.062958108236</v>
      </c>
      <c r="G17" s="2" t="s">
        <v>70</v>
      </c>
      <c r="H17" s="49">
        <v>0.44178850750555915</v>
      </c>
    </row>
    <row r="18" spans="2:8" ht="11.55" customHeight="1" x14ac:dyDescent="0.3">
      <c r="B18" s="63">
        <v>46631</v>
      </c>
      <c r="C18" s="66">
        <v>27149.503654956992</v>
      </c>
      <c r="G18" s="2" t="s">
        <v>71</v>
      </c>
      <c r="H18" s="49">
        <v>0.43024696717066291</v>
      </c>
    </row>
    <row r="19" spans="2:8" ht="11.55" customHeight="1" x14ac:dyDescent="0.3">
      <c r="B19" s="63">
        <v>46661</v>
      </c>
      <c r="C19" s="66">
        <v>27723.505918389688</v>
      </c>
      <c r="G19" s="2" t="s">
        <v>72</v>
      </c>
      <c r="H19" s="49">
        <v>0.41964470574517398</v>
      </c>
    </row>
    <row r="20" spans="2:8" ht="11.55" customHeight="1" x14ac:dyDescent="0.3">
      <c r="B20" s="63">
        <v>46692</v>
      </c>
      <c r="C20" s="66">
        <v>28278.542619809821</v>
      </c>
      <c r="G20" s="2" t="s">
        <v>73</v>
      </c>
      <c r="H20" s="49">
        <v>0.40867864537577042</v>
      </c>
    </row>
    <row r="21" spans="2:8" ht="11.55" customHeight="1" x14ac:dyDescent="0.3">
      <c r="B21" s="63">
        <v>46722</v>
      </c>
      <c r="C21" s="66">
        <v>28948.388153367734</v>
      </c>
      <c r="G21" s="2" t="s">
        <v>74</v>
      </c>
      <c r="H21" s="49">
        <v>0.39838493874579989</v>
      </c>
    </row>
    <row r="22" spans="2:8" ht="11.55" customHeight="1" x14ac:dyDescent="0.3">
      <c r="B22" s="63">
        <v>46753</v>
      </c>
      <c r="C22" s="66">
        <v>29542.732124053899</v>
      </c>
      <c r="G22" s="2" t="s">
        <v>75</v>
      </c>
      <c r="H22" s="49">
        <v>0.39041777480437501</v>
      </c>
    </row>
    <row r="23" spans="2:8" ht="11.55" customHeight="1" x14ac:dyDescent="0.3">
      <c r="B23" s="63">
        <v>46784</v>
      </c>
      <c r="C23" s="66">
        <v>30063.291329528372</v>
      </c>
      <c r="G23" s="2" t="s">
        <v>76</v>
      </c>
      <c r="H23" s="49">
        <v>0.38323138032628051</v>
      </c>
    </row>
    <row r="24" spans="2:8" ht="11.55" customHeight="1" x14ac:dyDescent="0.3">
      <c r="B24" s="63">
        <v>46813</v>
      </c>
      <c r="C24" s="66">
        <v>30587.474062057372</v>
      </c>
      <c r="G24" s="2" t="s">
        <v>77</v>
      </c>
      <c r="H24" s="49">
        <v>0.3757842163848556</v>
      </c>
    </row>
    <row r="25" spans="2:8" ht="11.55" customHeight="1" x14ac:dyDescent="0.3">
      <c r="B25" s="63">
        <v>46844</v>
      </c>
      <c r="C25" s="66">
        <v>31081.90939352426</v>
      </c>
      <c r="G25" s="2" t="s">
        <v>78</v>
      </c>
      <c r="H25" s="49">
        <v>0.37058903579461955</v>
      </c>
    </row>
    <row r="26" spans="2:8" ht="11.55" customHeight="1" x14ac:dyDescent="0.3">
      <c r="B26" s="63">
        <v>46874</v>
      </c>
      <c r="C26" s="66">
        <v>31650.379389296952</v>
      </c>
      <c r="G26" s="2" t="s">
        <v>79</v>
      </c>
      <c r="H26" s="49">
        <v>0.3636618718531946</v>
      </c>
    </row>
    <row r="27" spans="2:8" ht="11.55" customHeight="1" x14ac:dyDescent="0.3">
      <c r="B27" s="63">
        <v>46905</v>
      </c>
      <c r="C27" s="66">
        <v>32300.717743710742</v>
      </c>
      <c r="G27" s="2" t="s">
        <v>80</v>
      </c>
      <c r="H27" s="49">
        <v>0.35846669126295855</v>
      </c>
    </row>
    <row r="28" spans="2:8" ht="11.55" customHeight="1" x14ac:dyDescent="0.3">
      <c r="B28" s="63">
        <v>46935</v>
      </c>
      <c r="C28" s="66">
        <v>33008.55488362522</v>
      </c>
      <c r="G28" s="2" t="s">
        <v>81</v>
      </c>
      <c r="H28" s="49">
        <v>0.35327151067272244</v>
      </c>
    </row>
    <row r="29" spans="2:8" ht="11.55" customHeight="1" x14ac:dyDescent="0.3">
      <c r="B29" s="63">
        <v>46966</v>
      </c>
      <c r="C29" s="66">
        <v>33512.319467426336</v>
      </c>
      <c r="G29" s="2" t="s">
        <v>82</v>
      </c>
      <c r="H29" s="49">
        <v>0.3480763300824864</v>
      </c>
    </row>
    <row r="30" spans="2:8" ht="11.55" customHeight="1" x14ac:dyDescent="0.3">
      <c r="B30" s="63">
        <v>46997</v>
      </c>
      <c r="C30" s="66">
        <v>34098.101521282268</v>
      </c>
      <c r="G30" s="2" t="s">
        <v>83</v>
      </c>
      <c r="H30" s="49">
        <v>0.34288114949225029</v>
      </c>
    </row>
    <row r="31" spans="2:8" ht="11.55" customHeight="1" x14ac:dyDescent="0.3">
      <c r="B31" s="63">
        <v>47027</v>
      </c>
      <c r="C31" s="66">
        <v>34607.118970474345</v>
      </c>
      <c r="G31" s="2" t="s">
        <v>84</v>
      </c>
      <c r="H31" s="49">
        <v>0.33768596890201424</v>
      </c>
    </row>
    <row r="32" spans="2:8" ht="11.55" customHeight="1" x14ac:dyDescent="0.3">
      <c r="B32" s="63">
        <v>47058</v>
      </c>
      <c r="C32" s="66">
        <v>35195.935314008966</v>
      </c>
      <c r="G32" s="2" t="s">
        <v>85</v>
      </c>
      <c r="H32" s="49">
        <v>0.33422277166296704</v>
      </c>
    </row>
    <row r="33" spans="2:8" ht="11.55" customHeight="1" x14ac:dyDescent="0.3">
      <c r="B33" s="63">
        <v>47088</v>
      </c>
      <c r="C33" s="66">
        <v>35771.833111260006</v>
      </c>
      <c r="G33" s="2" t="s">
        <v>86</v>
      </c>
      <c r="H33" s="49">
        <v>0.32902759107273094</v>
      </c>
    </row>
    <row r="34" spans="2:8" ht="11.55" customHeight="1" x14ac:dyDescent="0.3">
      <c r="B34" s="63">
        <v>47119</v>
      </c>
      <c r="C34" s="66">
        <v>36310.991018905865</v>
      </c>
      <c r="G34" s="2" t="s">
        <v>87</v>
      </c>
      <c r="H34" s="49">
        <v>0.32556439383368369</v>
      </c>
    </row>
    <row r="35" spans="2:8" ht="11.55" customHeight="1" x14ac:dyDescent="0.3">
      <c r="B35" s="63">
        <v>47150</v>
      </c>
      <c r="C35" s="66">
        <v>36873.35095607688</v>
      </c>
      <c r="G35" s="2" t="s">
        <v>88</v>
      </c>
      <c r="H35" s="49">
        <v>0.32210042713130599</v>
      </c>
    </row>
    <row r="36" spans="2:8" ht="11.55" customHeight="1" x14ac:dyDescent="0.3">
      <c r="B36" s="63">
        <v>47178</v>
      </c>
      <c r="C36" s="66">
        <v>37307.014550631509</v>
      </c>
      <c r="G36" s="2" t="s">
        <v>89</v>
      </c>
      <c r="H36" s="49">
        <v>0.31863722989225879</v>
      </c>
    </row>
    <row r="37" spans="2:8" ht="11.55" customHeight="1" x14ac:dyDescent="0.3">
      <c r="B37" s="63">
        <v>47209</v>
      </c>
      <c r="C37" s="66">
        <v>37773.23609035687</v>
      </c>
      <c r="G37" s="2" t="s">
        <v>90</v>
      </c>
      <c r="H37" s="49">
        <v>0.31517403265321153</v>
      </c>
    </row>
    <row r="38" spans="2:8" ht="11.55" customHeight="1" x14ac:dyDescent="0.3">
      <c r="B38" s="63">
        <v>47239</v>
      </c>
      <c r="C38" s="66">
        <v>38350.945645873675</v>
      </c>
      <c r="G38" s="2" t="s">
        <v>91</v>
      </c>
      <c r="H38" s="49">
        <v>0.31171006595083389</v>
      </c>
    </row>
    <row r="39" spans="2:8" ht="11.55" customHeight="1" x14ac:dyDescent="0.3">
      <c r="B39" s="63">
        <v>47270</v>
      </c>
      <c r="C39" s="66">
        <v>39192.504612957564</v>
      </c>
      <c r="G39" s="2" t="s">
        <v>92</v>
      </c>
      <c r="H39" s="49">
        <v>0.30824686871178664</v>
      </c>
    </row>
    <row r="40" spans="2:8" ht="11.55" customHeight="1" x14ac:dyDescent="0.3">
      <c r="B40" s="63">
        <v>47300</v>
      </c>
      <c r="C40" s="66">
        <v>40177.801996058923</v>
      </c>
      <c r="G40" s="2" t="s">
        <v>93</v>
      </c>
      <c r="H40" s="49">
        <v>0.30478367147273944</v>
      </c>
    </row>
    <row r="41" spans="2:8" ht="11.55" customHeight="1" x14ac:dyDescent="0.3">
      <c r="B41" s="63">
        <v>47331</v>
      </c>
      <c r="C41" s="66">
        <v>40653.313122332496</v>
      </c>
      <c r="G41" s="2" t="s">
        <v>94</v>
      </c>
      <c r="H41" s="49">
        <v>0.30305168812155059</v>
      </c>
    </row>
    <row r="42" spans="2:8" ht="14.4" x14ac:dyDescent="0.3">
      <c r="B42" s="63">
        <v>47362</v>
      </c>
      <c r="C42" s="66">
        <v>41230.910504715917</v>
      </c>
      <c r="G42" s="2" t="s">
        <v>95</v>
      </c>
      <c r="H42" s="49">
        <v>0.29958849088250333</v>
      </c>
    </row>
    <row r="43" spans="2:8" ht="14.4" x14ac:dyDescent="0.3">
      <c r="B43" s="63">
        <v>47392</v>
      </c>
      <c r="C43" s="66">
        <v>41750.064026805368</v>
      </c>
      <c r="G43" s="2" t="s">
        <v>96</v>
      </c>
      <c r="H43" s="49">
        <v>0.29785650753131454</v>
      </c>
    </row>
    <row r="44" spans="2:8" ht="14.4" x14ac:dyDescent="0.3">
      <c r="B44" s="63">
        <v>47423</v>
      </c>
      <c r="C44" s="66">
        <v>42402.034936171207</v>
      </c>
      <c r="G44" s="2" t="s">
        <v>97</v>
      </c>
      <c r="H44" s="49">
        <v>0.29439331029226729</v>
      </c>
    </row>
    <row r="45" spans="2:8" ht="14.4" x14ac:dyDescent="0.3">
      <c r="B45" s="63">
        <v>47453</v>
      </c>
      <c r="C45" s="66">
        <v>42948.817809205553</v>
      </c>
      <c r="G45" s="2" t="s">
        <v>98</v>
      </c>
      <c r="H45" s="49">
        <v>0.29266132694107844</v>
      </c>
    </row>
    <row r="46" spans="2:8" ht="14.4" x14ac:dyDescent="0.3">
      <c r="B46" s="63">
        <v>47484</v>
      </c>
      <c r="C46" s="66">
        <v>43107.152327252872</v>
      </c>
      <c r="G46" s="2" t="s">
        <v>99</v>
      </c>
      <c r="H46" s="49">
        <v>0.29093011305322009</v>
      </c>
    </row>
    <row r="47" spans="2:8" ht="14.4" x14ac:dyDescent="0.3">
      <c r="B47" s="63">
        <v>47515</v>
      </c>
      <c r="C47" s="66">
        <v>43323.726611748389</v>
      </c>
      <c r="G47" s="2" t="s">
        <v>100</v>
      </c>
      <c r="H47" s="49">
        <v>0.28746614635084244</v>
      </c>
    </row>
    <row r="48" spans="2:8" ht="14.4" x14ac:dyDescent="0.3">
      <c r="B48" s="63">
        <v>47543</v>
      </c>
      <c r="C48" s="66">
        <v>43379.713254110735</v>
      </c>
      <c r="G48" s="2" t="s">
        <v>101</v>
      </c>
      <c r="H48" s="49">
        <v>0.28573493246298398</v>
      </c>
    </row>
    <row r="49" spans="2:8" ht="14.4" x14ac:dyDescent="0.3">
      <c r="B49" s="63">
        <v>47574</v>
      </c>
      <c r="C49" s="66">
        <v>43452.676605876339</v>
      </c>
      <c r="G49" s="2" t="s">
        <v>102</v>
      </c>
      <c r="H49" s="49">
        <v>0.28400294911179513</v>
      </c>
    </row>
    <row r="50" spans="2:8" ht="14.4" x14ac:dyDescent="0.3">
      <c r="B50" s="63">
        <v>47604</v>
      </c>
      <c r="C50" s="66">
        <v>43476.48632219695</v>
      </c>
      <c r="G50" s="2" t="s">
        <v>103</v>
      </c>
      <c r="H50" s="49">
        <v>0.28227096576060628</v>
      </c>
    </row>
    <row r="51" spans="2:8" ht="14.4" x14ac:dyDescent="0.3">
      <c r="B51" s="63">
        <v>47635</v>
      </c>
      <c r="C51" s="66">
        <v>43609.077012025489</v>
      </c>
      <c r="G51" s="2" t="s">
        <v>104</v>
      </c>
      <c r="H51" s="49">
        <v>0.28053975187274793</v>
      </c>
    </row>
    <row r="52" spans="2:8" ht="14.4" x14ac:dyDescent="0.3">
      <c r="B52" s="63">
        <v>47665</v>
      </c>
      <c r="C52" s="66">
        <v>43818.725496274834</v>
      </c>
      <c r="G52" s="2" t="s">
        <v>105</v>
      </c>
      <c r="H52" s="49">
        <v>0.27880776852155909</v>
      </c>
    </row>
    <row r="53" spans="2:8" ht="14.4" x14ac:dyDescent="0.3">
      <c r="B53" s="63">
        <v>47696</v>
      </c>
      <c r="C53" s="66">
        <v>43695.037694218227</v>
      </c>
      <c r="G53" s="2" t="s">
        <v>106</v>
      </c>
      <c r="H53" s="49">
        <v>0.27707578517037024</v>
      </c>
    </row>
    <row r="54" spans="2:8" ht="14.4" x14ac:dyDescent="0.3">
      <c r="B54" s="63">
        <v>47727</v>
      </c>
      <c r="C54" s="66">
        <v>43653.228308209487</v>
      </c>
      <c r="G54" s="2" t="s">
        <v>107</v>
      </c>
      <c r="H54" s="49">
        <v>0.27534457128251189</v>
      </c>
    </row>
    <row r="55" spans="2:8" ht="14.4" x14ac:dyDescent="0.3">
      <c r="B55" s="63">
        <v>47757</v>
      </c>
      <c r="C55" s="66">
        <v>43555.424374070797</v>
      </c>
      <c r="G55" s="2" t="s">
        <v>108</v>
      </c>
      <c r="H55" s="49">
        <v>0.27361258793132298</v>
      </c>
    </row>
    <row r="56" spans="2:8" ht="14.4" x14ac:dyDescent="0.3">
      <c r="B56" s="63">
        <v>47788</v>
      </c>
      <c r="C56" s="66">
        <v>43560.5015501366</v>
      </c>
      <c r="G56" s="2" t="s">
        <v>109</v>
      </c>
      <c r="H56" s="49">
        <v>0.27188060458013419</v>
      </c>
    </row>
    <row r="57" spans="2:8" ht="14.4" x14ac:dyDescent="0.3">
      <c r="B57" s="63">
        <v>47818</v>
      </c>
      <c r="C57" s="66">
        <v>43565.639242556928</v>
      </c>
      <c r="G57" s="2" t="s">
        <v>110</v>
      </c>
      <c r="H57" s="49">
        <v>0.27188060458013419</v>
      </c>
    </row>
    <row r="58" spans="2:8" ht="14.4" x14ac:dyDescent="0.3">
      <c r="B58" s="63">
        <v>47849</v>
      </c>
      <c r="C58" s="66">
        <v>43440.264776047428</v>
      </c>
      <c r="G58" s="2" t="s">
        <v>111</v>
      </c>
      <c r="H58" s="49">
        <v>0.27014939069227578</v>
      </c>
    </row>
    <row r="59" spans="2:8" ht="14.4" x14ac:dyDescent="0.3">
      <c r="B59" s="63">
        <v>47880</v>
      </c>
      <c r="C59" s="66">
        <v>43361.379856369407</v>
      </c>
      <c r="G59" s="2" t="s">
        <v>112</v>
      </c>
      <c r="H59" s="49">
        <v>0.26841740734108693</v>
      </c>
    </row>
    <row r="60" spans="2:8" ht="14.4" x14ac:dyDescent="0.3">
      <c r="B60" s="63">
        <v>47908</v>
      </c>
      <c r="C60" s="66">
        <v>43235.870826385544</v>
      </c>
      <c r="G60" s="2" t="s">
        <v>113</v>
      </c>
      <c r="H60" s="49">
        <v>0.26668542398989808</v>
      </c>
    </row>
    <row r="61" spans="2:8" ht="14.4" x14ac:dyDescent="0.3">
      <c r="B61" s="63">
        <v>47939</v>
      </c>
      <c r="C61" s="66">
        <v>43110.361796401674</v>
      </c>
      <c r="G61" s="2" t="s">
        <v>114</v>
      </c>
      <c r="H61" s="49">
        <v>0.26668542398989808</v>
      </c>
    </row>
    <row r="62" spans="2:8" ht="14.4" x14ac:dyDescent="0.3">
      <c r="B62" s="63">
        <v>47969</v>
      </c>
      <c r="C62" s="66">
        <v>43047.857348879348</v>
      </c>
      <c r="G62" s="2" t="s">
        <v>115</v>
      </c>
      <c r="H62" s="49">
        <v>0.26495421010203973</v>
      </c>
    </row>
    <row r="63" spans="2:8" ht="14.4" x14ac:dyDescent="0.3">
      <c r="B63" s="63">
        <v>48000</v>
      </c>
      <c r="C63" s="66">
        <v>43056.385098530627</v>
      </c>
      <c r="G63" s="2" t="s">
        <v>116</v>
      </c>
      <c r="H63" s="49">
        <v>0.26322222675085089</v>
      </c>
    </row>
    <row r="64" spans="2:8" ht="14.4" x14ac:dyDescent="0.3">
      <c r="B64" s="63">
        <v>48030</v>
      </c>
      <c r="C64" s="66">
        <v>43110.846741568232</v>
      </c>
      <c r="G64" s="2" t="s">
        <v>154</v>
      </c>
      <c r="H64" s="49">
        <v>0.26322222675085089</v>
      </c>
    </row>
    <row r="65" spans="2:8" ht="14.4" x14ac:dyDescent="0.3">
      <c r="B65" s="63">
        <v>48061</v>
      </c>
      <c r="C65" s="66">
        <v>43111.302435506419</v>
      </c>
      <c r="G65" s="2" t="s">
        <v>155</v>
      </c>
      <c r="H65" s="49">
        <v>0.26149024339966198</v>
      </c>
    </row>
    <row r="66" spans="2:8" ht="14.4" x14ac:dyDescent="0.3">
      <c r="B66" s="63">
        <v>48092</v>
      </c>
      <c r="C66" s="66">
        <v>43161.084173704337</v>
      </c>
      <c r="G66" s="2" t="s">
        <v>156</v>
      </c>
      <c r="H66" s="49">
        <v>0.26149024339966198</v>
      </c>
    </row>
    <row r="67" spans="2:8" ht="14.4" x14ac:dyDescent="0.3">
      <c r="B67" s="63">
        <v>48122</v>
      </c>
      <c r="C67" s="66">
        <v>43177.323448592513</v>
      </c>
      <c r="G67" s="2" t="s">
        <v>157</v>
      </c>
      <c r="H67" s="49">
        <v>0.25975902951180363</v>
      </c>
    </row>
    <row r="68" spans="2:8" ht="14.4" x14ac:dyDescent="0.3">
      <c r="B68" s="63">
        <v>48153</v>
      </c>
      <c r="C68" s="66">
        <v>43227.587870865435</v>
      </c>
      <c r="G68" s="2" t="s">
        <v>158</v>
      </c>
      <c r="H68" s="49">
        <v>0.25802704616061478</v>
      </c>
    </row>
    <row r="69" spans="2:8" ht="14.4" x14ac:dyDescent="0.3">
      <c r="B69" s="63">
        <v>48183</v>
      </c>
      <c r="C69" s="66">
        <v>43306.574820151465</v>
      </c>
      <c r="G69" s="2" t="s">
        <v>159</v>
      </c>
      <c r="H69" s="49">
        <v>0.25802704616061478</v>
      </c>
    </row>
    <row r="70" spans="2:8" ht="14.4" x14ac:dyDescent="0.3">
      <c r="B70" s="63">
        <v>48214</v>
      </c>
      <c r="C70" s="66">
        <v>43306.574820151465</v>
      </c>
      <c r="G70" s="2" t="s">
        <v>160</v>
      </c>
      <c r="H70" s="49">
        <v>0.25629506280942593</v>
      </c>
    </row>
    <row r="71" spans="2:8" ht="14.4" x14ac:dyDescent="0.3">
      <c r="B71" s="63">
        <v>48245</v>
      </c>
      <c r="C71" s="66">
        <v>43334.954963298725</v>
      </c>
      <c r="G71" s="2" t="s">
        <v>161</v>
      </c>
      <c r="H71" s="49">
        <v>0.25629506280942593</v>
      </c>
    </row>
    <row r="72" spans="2:8" ht="14.4" x14ac:dyDescent="0.3">
      <c r="B72" s="63">
        <v>48274</v>
      </c>
      <c r="C72" s="66">
        <v>43334.954963298725</v>
      </c>
      <c r="G72" s="2" t="s">
        <v>162</v>
      </c>
      <c r="H72" s="49">
        <v>0.25456384892156758</v>
      </c>
    </row>
    <row r="73" spans="2:8" ht="14.4" x14ac:dyDescent="0.3">
      <c r="B73" s="63">
        <v>48305</v>
      </c>
      <c r="C73" s="66">
        <v>43334.954963298725</v>
      </c>
      <c r="G73" s="2" t="s">
        <v>163</v>
      </c>
      <c r="H73" s="49">
        <v>0.25456384892156758</v>
      </c>
    </row>
    <row r="74" spans="2:8" ht="14.4" x14ac:dyDescent="0.3">
      <c r="B74" s="63">
        <v>48335</v>
      </c>
      <c r="C74" s="66">
        <v>43325.00078598156</v>
      </c>
      <c r="G74" s="2" t="s">
        <v>164</v>
      </c>
      <c r="H74" s="49">
        <v>0.25283186557037873</v>
      </c>
    </row>
    <row r="75" spans="2:8" ht="14.4" x14ac:dyDescent="0.3">
      <c r="B75" s="63">
        <v>48366</v>
      </c>
      <c r="C75" s="66">
        <v>43241.016951591933</v>
      </c>
      <c r="G75" s="2" t="s">
        <v>165</v>
      </c>
      <c r="H75" s="49">
        <v>0.25283186557037873</v>
      </c>
    </row>
    <row r="76" spans="2:8" ht="14.4" x14ac:dyDescent="0.3">
      <c r="B76" s="63">
        <v>48396</v>
      </c>
      <c r="C76" s="66">
        <v>43127.684971338058</v>
      </c>
      <c r="G76" s="2" t="s">
        <v>166</v>
      </c>
      <c r="H76" s="49">
        <v>0.25109988221918988</v>
      </c>
    </row>
    <row r="77" spans="2:8" ht="14.4" x14ac:dyDescent="0.3">
      <c r="B77" s="63">
        <v>48427</v>
      </c>
      <c r="C77" s="66">
        <v>43127.39870741521</v>
      </c>
      <c r="G77" s="2" t="s">
        <v>167</v>
      </c>
      <c r="H77" s="49">
        <v>0.25109988221918988</v>
      </c>
    </row>
    <row r="78" spans="2:8" ht="14.4" x14ac:dyDescent="0.3">
      <c r="B78" s="63">
        <v>48458</v>
      </c>
      <c r="C78" s="66">
        <v>43096.126148207368</v>
      </c>
      <c r="G78" s="2" t="s">
        <v>168</v>
      </c>
      <c r="H78" s="49">
        <v>0.24936866833133148</v>
      </c>
    </row>
    <row r="79" spans="2:8" ht="14.4" x14ac:dyDescent="0.3">
      <c r="B79" s="63">
        <v>48488</v>
      </c>
      <c r="C79" s="66">
        <v>43085.924742956835</v>
      </c>
      <c r="G79" s="2" t="s">
        <v>169</v>
      </c>
      <c r="H79" s="49">
        <v>0.24936866833133148</v>
      </c>
    </row>
    <row r="80" spans="2:8" ht="14.4" x14ac:dyDescent="0.3">
      <c r="B80" s="63">
        <v>48519</v>
      </c>
      <c r="C80" s="66">
        <v>43054.348964800411</v>
      </c>
      <c r="G80" s="2" t="s">
        <v>170</v>
      </c>
      <c r="H80" s="49">
        <v>0.24763668498014263</v>
      </c>
    </row>
    <row r="81" spans="2:8" ht="14.4" x14ac:dyDescent="0.3">
      <c r="B81" s="63">
        <v>48549</v>
      </c>
      <c r="C81" s="66">
        <v>43004.729884840322</v>
      </c>
      <c r="G81" s="2" t="s">
        <v>171</v>
      </c>
      <c r="H81" s="49">
        <v>0.24763668498014263</v>
      </c>
    </row>
    <row r="82" spans="2:8" ht="14.4" x14ac:dyDescent="0.3">
      <c r="B82" s="63">
        <v>48580</v>
      </c>
      <c r="C82" s="66">
        <v>43004.729884840322</v>
      </c>
      <c r="G82" s="2" t="s">
        <v>172</v>
      </c>
      <c r="H82" s="49">
        <v>0.24590470162895378</v>
      </c>
    </row>
    <row r="83" spans="2:8" ht="14.4" x14ac:dyDescent="0.3">
      <c r="B83" s="63">
        <v>48611</v>
      </c>
      <c r="C83" s="66">
        <v>42986.901666320278</v>
      </c>
      <c r="G83" s="2" t="s">
        <v>173</v>
      </c>
      <c r="H83" s="49">
        <v>0.24590470162895378</v>
      </c>
    </row>
    <row r="84" spans="2:8" ht="14.4" x14ac:dyDescent="0.3">
      <c r="B84" s="63">
        <v>48639</v>
      </c>
      <c r="C84" s="66">
        <v>42986.901666320278</v>
      </c>
      <c r="G84" s="2" t="s">
        <v>174</v>
      </c>
      <c r="H84" s="49">
        <v>0.24590470162895378</v>
      </c>
    </row>
    <row r="85" spans="2:8" ht="14.4" x14ac:dyDescent="0.3">
      <c r="B85" s="63">
        <v>48670</v>
      </c>
      <c r="C85" s="66">
        <v>42986.901666320278</v>
      </c>
      <c r="G85" s="2" t="s">
        <v>175</v>
      </c>
      <c r="H85" s="49">
        <v>0.24417348774109537</v>
      </c>
    </row>
    <row r="86" spans="2:8" ht="14.4" x14ac:dyDescent="0.3">
      <c r="B86" s="63">
        <v>48700</v>
      </c>
      <c r="C86" s="66">
        <v>42990.888277132348</v>
      </c>
      <c r="G86" s="2" t="s">
        <v>176</v>
      </c>
      <c r="H86" s="49">
        <v>0.24417348774109537</v>
      </c>
    </row>
    <row r="87" spans="2:8" ht="14.4" x14ac:dyDescent="0.3">
      <c r="B87" s="63">
        <v>48731</v>
      </c>
      <c r="C87" s="66">
        <v>43024.52348891821</v>
      </c>
      <c r="G87" s="2" t="s">
        <v>177</v>
      </c>
      <c r="H87" s="49">
        <v>0.24244150438990655</v>
      </c>
    </row>
    <row r="88" spans="2:8" ht="14.4" x14ac:dyDescent="0.3">
      <c r="B88" s="63">
        <v>48761</v>
      </c>
      <c r="C88" s="66">
        <v>43069.912523434839</v>
      </c>
      <c r="G88" s="2" t="s">
        <v>178</v>
      </c>
      <c r="H88" s="49">
        <v>0.24244150438990655</v>
      </c>
    </row>
    <row r="89" spans="2:8" ht="14.4" x14ac:dyDescent="0.3">
      <c r="B89" s="63">
        <v>48792</v>
      </c>
      <c r="C89" s="66">
        <v>43070.027171066038</v>
      </c>
      <c r="G89" s="2" t="s">
        <v>179</v>
      </c>
      <c r="H89" s="49">
        <v>0.24070952103871773</v>
      </c>
    </row>
    <row r="90" spans="2:8" ht="14.4" x14ac:dyDescent="0.3">
      <c r="B90" s="63">
        <v>48823</v>
      </c>
      <c r="C90" s="66">
        <v>43082.551714148474</v>
      </c>
      <c r="G90" s="2" t="s">
        <v>180</v>
      </c>
      <c r="H90" s="49">
        <v>0.24070952103871773</v>
      </c>
    </row>
    <row r="91" spans="2:8" ht="14.4" x14ac:dyDescent="0.3">
      <c r="B91" s="63">
        <v>48853</v>
      </c>
      <c r="C91" s="66">
        <v>43086.63733882385</v>
      </c>
      <c r="G91" s="2" t="s">
        <v>181</v>
      </c>
      <c r="H91" s="49">
        <v>0.24070952103871773</v>
      </c>
    </row>
    <row r="92" spans="2:8" ht="14.4" x14ac:dyDescent="0.3">
      <c r="B92" s="63">
        <v>48884</v>
      </c>
      <c r="C92" s="66">
        <v>43099.283319961927</v>
      </c>
      <c r="G92" s="2" t="s">
        <v>182</v>
      </c>
      <c r="H92" s="49">
        <v>0.23897830715085933</v>
      </c>
    </row>
    <row r="93" spans="2:8" ht="14.4" x14ac:dyDescent="0.3">
      <c r="B93" s="63">
        <v>48914</v>
      </c>
      <c r="C93" s="66">
        <v>43119.15557603605</v>
      </c>
      <c r="G93" s="2" t="s">
        <v>183</v>
      </c>
      <c r="H93" s="49">
        <v>0.23897830715085933</v>
      </c>
    </row>
    <row r="94" spans="2:8" ht="14.4" x14ac:dyDescent="0.3">
      <c r="B94" s="63">
        <v>48945</v>
      </c>
      <c r="C94" s="66">
        <v>43119.15557603605</v>
      </c>
      <c r="G94" s="2" t="s">
        <v>184</v>
      </c>
      <c r="H94" s="49">
        <v>0.23724632379967048</v>
      </c>
    </row>
    <row r="95" spans="2:8" ht="14.4" x14ac:dyDescent="0.3">
      <c r="B95" s="63">
        <v>48976</v>
      </c>
      <c r="C95" s="66">
        <v>43126.295710920873</v>
      </c>
      <c r="G95" s="2" t="s">
        <v>185</v>
      </c>
      <c r="H95" s="49">
        <v>0.23724632379967048</v>
      </c>
    </row>
    <row r="96" spans="2:8" ht="14.4" x14ac:dyDescent="0.3">
      <c r="B96" s="63">
        <v>49004</v>
      </c>
      <c r="C96" s="66">
        <v>43126.295710920873</v>
      </c>
      <c r="G96" s="2" t="s">
        <v>186</v>
      </c>
      <c r="H96" s="49">
        <v>0.23724632379967048</v>
      </c>
    </row>
    <row r="97" spans="2:8" ht="14.4" x14ac:dyDescent="0.3">
      <c r="B97" s="63">
        <v>49035</v>
      </c>
      <c r="C97" s="66">
        <v>43126.295710920873</v>
      </c>
      <c r="G97" s="2" t="s">
        <v>187</v>
      </c>
      <c r="H97" s="49">
        <v>0.23551434044848166</v>
      </c>
    </row>
    <row r="98" spans="2:8" ht="14.4" x14ac:dyDescent="0.3">
      <c r="B98" s="63">
        <v>49065</v>
      </c>
      <c r="C98" s="66">
        <v>43132.514717378268</v>
      </c>
      <c r="G98" s="2" t="s">
        <v>188</v>
      </c>
      <c r="H98" s="49">
        <v>0.23551434044848166</v>
      </c>
    </row>
    <row r="99" spans="2:8" ht="14.4" x14ac:dyDescent="0.3">
      <c r="B99" s="63">
        <v>49096</v>
      </c>
      <c r="C99" s="66">
        <v>43184.984749983072</v>
      </c>
      <c r="G99" s="2" t="s">
        <v>189</v>
      </c>
      <c r="H99" s="49">
        <v>0.23551434044848166</v>
      </c>
    </row>
    <row r="100" spans="2:8" ht="14.4" x14ac:dyDescent="0.3">
      <c r="B100" s="63">
        <v>49126</v>
      </c>
      <c r="C100" s="66">
        <v>43255.790432318317</v>
      </c>
      <c r="G100" s="2" t="s">
        <v>190</v>
      </c>
      <c r="H100" s="49">
        <v>0.23378312656062325</v>
      </c>
    </row>
    <row r="101" spans="2:8" ht="14.4" x14ac:dyDescent="0.3">
      <c r="B101" s="63">
        <v>49157</v>
      </c>
      <c r="C101" s="66">
        <v>43255.969279562851</v>
      </c>
      <c r="G101" s="2" t="s">
        <v>191</v>
      </c>
      <c r="H101" s="49">
        <v>0.23378312656062325</v>
      </c>
    </row>
    <row r="102" spans="2:8" ht="14.4" x14ac:dyDescent="0.3">
      <c r="B102" s="63">
        <v>49188</v>
      </c>
      <c r="C102" s="66">
        <v>43275.507232470045</v>
      </c>
      <c r="G102" s="2" t="s">
        <v>192</v>
      </c>
      <c r="H102" s="49">
        <v>0.23378312656062325</v>
      </c>
    </row>
    <row r="103" spans="2:8" ht="14.4" x14ac:dyDescent="0.3">
      <c r="B103" s="63">
        <v>49218</v>
      </c>
      <c r="C103" s="66">
        <v>43281.880697911351</v>
      </c>
      <c r="G103" s="2" t="s">
        <v>193</v>
      </c>
      <c r="H103" s="49">
        <v>0.2320511432094344</v>
      </c>
    </row>
    <row r="104" spans="2:8" ht="14.4" x14ac:dyDescent="0.3">
      <c r="B104" s="63">
        <v>49249</v>
      </c>
      <c r="C104" s="66">
        <v>43301.608090943955</v>
      </c>
      <c r="G104" s="2" t="s">
        <v>194</v>
      </c>
      <c r="H104" s="49">
        <v>0.2320511432094344</v>
      </c>
    </row>
    <row r="105" spans="2:8" ht="14.4" x14ac:dyDescent="0.3">
      <c r="B105" s="63">
        <v>49279</v>
      </c>
      <c r="C105" s="66">
        <v>43332.608279995206</v>
      </c>
      <c r="G105" s="2" t="s">
        <v>195</v>
      </c>
      <c r="H105" s="49">
        <v>0.2320511432094344</v>
      </c>
    </row>
    <row r="106" spans="2:8" ht="14.4" x14ac:dyDescent="0.3">
      <c r="B106" s="63">
        <v>49310</v>
      </c>
      <c r="C106" s="66">
        <v>43332.608279995206</v>
      </c>
      <c r="G106" s="2" t="s">
        <v>196</v>
      </c>
      <c r="H106" s="49">
        <v>0.23031915985824558</v>
      </c>
    </row>
    <row r="107" spans="2:8" ht="14.4" x14ac:dyDescent="0.3">
      <c r="B107" s="63">
        <v>49341</v>
      </c>
      <c r="C107" s="66">
        <v>43343.746699833151</v>
      </c>
      <c r="G107" s="2" t="s">
        <v>197</v>
      </c>
      <c r="H107" s="49">
        <v>0.23031915985824558</v>
      </c>
    </row>
    <row r="108" spans="2:8" ht="14.4" x14ac:dyDescent="0.3">
      <c r="B108" s="63">
        <v>49369</v>
      </c>
      <c r="C108" s="66">
        <v>43343.746699833151</v>
      </c>
      <c r="G108" s="2" t="s">
        <v>198</v>
      </c>
      <c r="H108" s="49">
        <v>0.23031915985824558</v>
      </c>
    </row>
    <row r="109" spans="2:8" ht="14.4" x14ac:dyDescent="0.3">
      <c r="B109" s="63">
        <v>49400</v>
      </c>
      <c r="C109" s="66">
        <v>43343.746699833151</v>
      </c>
      <c r="G109" s="2" t="s">
        <v>199</v>
      </c>
      <c r="H109" s="49">
        <v>0.22858794597038715</v>
      </c>
    </row>
    <row r="110" spans="2:8" ht="14.4" x14ac:dyDescent="0.3">
      <c r="B110" s="63">
        <v>49430</v>
      </c>
      <c r="C110" s="66">
        <v>43349.711459327867</v>
      </c>
      <c r="G110" s="2" t="s">
        <v>200</v>
      </c>
      <c r="H110" s="49">
        <v>0.22858794597038715</v>
      </c>
    </row>
    <row r="111" spans="2:8" ht="14.4" x14ac:dyDescent="0.3">
      <c r="B111" s="63">
        <v>49461</v>
      </c>
      <c r="C111" s="66">
        <v>43400.03639906094</v>
      </c>
      <c r="G111" s="2" t="s">
        <v>201</v>
      </c>
      <c r="H111" s="49">
        <v>0.22858794597038715</v>
      </c>
    </row>
    <row r="112" spans="2:8" ht="14.4" x14ac:dyDescent="0.3">
      <c r="B112" s="63">
        <v>49491</v>
      </c>
      <c r="C112" s="66">
        <v>43467.947385949752</v>
      </c>
      <c r="G112" s="2" t="s">
        <v>202</v>
      </c>
      <c r="H112" s="49">
        <v>0.22685596261919833</v>
      </c>
    </row>
    <row r="113" spans="2:8" ht="14.4" x14ac:dyDescent="0.3">
      <c r="B113" s="63">
        <v>49522</v>
      </c>
      <c r="C113" s="66">
        <v>43468.118921516922</v>
      </c>
      <c r="G113" s="2" t="s">
        <v>203</v>
      </c>
      <c r="H113" s="49">
        <v>0.22685596261919833</v>
      </c>
    </row>
    <row r="114" spans="2:8" ht="14.4" x14ac:dyDescent="0.3">
      <c r="B114" s="63">
        <v>49553</v>
      </c>
      <c r="C114" s="66">
        <v>43486.858118993099</v>
      </c>
      <c r="G114" s="2" t="s">
        <v>204</v>
      </c>
      <c r="H114" s="49">
        <v>0.22685596261919833</v>
      </c>
    </row>
    <row r="115" spans="2:8" ht="14.4" x14ac:dyDescent="0.3">
      <c r="B115" s="63">
        <v>49583</v>
      </c>
      <c r="C115" s="66">
        <v>43492.971022841288</v>
      </c>
      <c r="G115" s="2" t="s">
        <v>205</v>
      </c>
      <c r="H115" s="49">
        <v>0.22512397926800948</v>
      </c>
    </row>
    <row r="116" spans="2:8" ht="14.4" x14ac:dyDescent="0.3">
      <c r="B116" s="63">
        <v>49614</v>
      </c>
      <c r="C116" s="66">
        <v>43511.89191570472</v>
      </c>
      <c r="G116" s="2" t="s">
        <v>206</v>
      </c>
      <c r="H116" s="49">
        <v>0.22512397926800948</v>
      </c>
    </row>
    <row r="117" spans="2:8" ht="14.4" x14ac:dyDescent="0.3">
      <c r="B117" s="63">
        <v>49644</v>
      </c>
      <c r="C117" s="66">
        <v>43541.624747347269</v>
      </c>
      <c r="G117" s="2" t="s">
        <v>207</v>
      </c>
      <c r="H117" s="49">
        <v>0.22512397926800948</v>
      </c>
    </row>
    <row r="118" spans="2:8" ht="14.4" x14ac:dyDescent="0.3">
      <c r="B118" s="63">
        <v>49675</v>
      </c>
      <c r="C118" s="66">
        <v>43541.624747347269</v>
      </c>
      <c r="G118" s="2" t="s">
        <v>208</v>
      </c>
      <c r="H118" s="49">
        <v>0.2233927653801511</v>
      </c>
    </row>
    <row r="119" spans="2:8" ht="14.4" x14ac:dyDescent="0.3">
      <c r="B119" s="63">
        <v>49706</v>
      </c>
      <c r="C119" s="66">
        <v>43552.307803545991</v>
      </c>
      <c r="G119" s="2" t="s">
        <v>209</v>
      </c>
      <c r="H119" s="49">
        <v>0.2233927653801511</v>
      </c>
    </row>
    <row r="120" spans="2:8" ht="14.4" x14ac:dyDescent="0.3">
      <c r="B120" s="63">
        <v>49735</v>
      </c>
      <c r="C120" s="66">
        <v>43552.307803545991</v>
      </c>
      <c r="G120" s="2" t="s">
        <v>210</v>
      </c>
      <c r="H120" s="49">
        <v>0.2233927653801511</v>
      </c>
    </row>
    <row r="121" spans="2:8" ht="14.4" x14ac:dyDescent="0.3">
      <c r="B121" s="63">
        <v>49766</v>
      </c>
      <c r="C121" s="66">
        <v>43552.307803545991</v>
      </c>
      <c r="G121" s="2" t="s">
        <v>211</v>
      </c>
      <c r="H121" s="49">
        <v>0.22166078202896228</v>
      </c>
    </row>
    <row r="122" spans="2:8" ht="14.4" x14ac:dyDescent="0.3">
      <c r="B122" s="63">
        <v>49796</v>
      </c>
      <c r="C122" s="66">
        <v>43558.059639988765</v>
      </c>
      <c r="G122" s="2" t="s">
        <v>212</v>
      </c>
      <c r="H122" s="49">
        <v>0.22166078202896228</v>
      </c>
    </row>
    <row r="123" spans="2:8" ht="14.4" x14ac:dyDescent="0.3">
      <c r="B123" s="63">
        <v>49827</v>
      </c>
      <c r="C123" s="66">
        <v>43606.588138512991</v>
      </c>
      <c r="G123" s="2" t="s">
        <v>213</v>
      </c>
      <c r="H123" s="49">
        <v>0.22166078202896228</v>
      </c>
    </row>
    <row r="124" spans="2:8" ht="14.4" x14ac:dyDescent="0.3">
      <c r="B124" s="63">
        <v>49857</v>
      </c>
      <c r="C124" s="66">
        <v>43672.074917920829</v>
      </c>
      <c r="G124" s="2" t="s">
        <v>214</v>
      </c>
      <c r="H124" s="49">
        <v>0.2199287986777734</v>
      </c>
    </row>
    <row r="125" spans="2:8" ht="14.4" x14ac:dyDescent="0.3">
      <c r="B125" s="63">
        <v>49888</v>
      </c>
      <c r="C125" s="66">
        <v>43672.240330210683</v>
      </c>
      <c r="G125" s="2" t="s">
        <v>215</v>
      </c>
      <c r="H125" s="49">
        <v>0.2199287986777734</v>
      </c>
    </row>
    <row r="126" spans="2:8" ht="14.4" x14ac:dyDescent="0.3">
      <c r="B126" s="63">
        <v>49919</v>
      </c>
      <c r="C126" s="66">
        <v>43690.310597594835</v>
      </c>
      <c r="G126" s="2" t="s">
        <v>216</v>
      </c>
      <c r="H126" s="49">
        <v>0.2199287986777734</v>
      </c>
    </row>
    <row r="127" spans="2:8" ht="14.4" x14ac:dyDescent="0.3">
      <c r="B127" s="63">
        <v>49949</v>
      </c>
      <c r="C127" s="66">
        <v>43696.205290106118</v>
      </c>
      <c r="G127" s="2" t="s">
        <v>217</v>
      </c>
      <c r="H127" s="49">
        <v>0.21819758478991505</v>
      </c>
    </row>
    <row r="128" spans="2:8" ht="14.4" x14ac:dyDescent="0.3">
      <c r="B128" s="63">
        <v>49980</v>
      </c>
      <c r="C128" s="66">
        <v>43714.45076692677</v>
      </c>
      <c r="G128" s="2" t="s">
        <v>218</v>
      </c>
      <c r="H128" s="49">
        <v>0.21819758478991505</v>
      </c>
    </row>
    <row r="129" spans="2:8" ht="14.4" x14ac:dyDescent="0.3">
      <c r="B129" s="63">
        <v>50010</v>
      </c>
      <c r="C129" s="66">
        <v>43743.122230502078</v>
      </c>
      <c r="G129" s="2" t="s">
        <v>219</v>
      </c>
      <c r="H129" s="49">
        <v>0.21819758478991505</v>
      </c>
    </row>
    <row r="130" spans="2:8" ht="14.4" x14ac:dyDescent="0.3">
      <c r="B130" s="63">
        <v>50041</v>
      </c>
      <c r="C130" s="66">
        <v>43743.122230502078</v>
      </c>
      <c r="G130" s="2" t="s">
        <v>220</v>
      </c>
      <c r="H130" s="49">
        <v>0.2164656014387262</v>
      </c>
    </row>
    <row r="131" spans="2:8" ht="14.4" x14ac:dyDescent="0.3">
      <c r="B131" s="63">
        <v>50072</v>
      </c>
      <c r="C131" s="66">
        <v>43753.423935376923</v>
      </c>
      <c r="G131" s="2" t="s">
        <v>221</v>
      </c>
      <c r="H131" s="49">
        <v>0.2164656014387262</v>
      </c>
    </row>
    <row r="132" spans="2:8" ht="14.4" x14ac:dyDescent="0.3">
      <c r="B132" s="63">
        <v>50100</v>
      </c>
      <c r="C132" s="66">
        <v>43753.423935376923</v>
      </c>
      <c r="G132" s="2" t="s">
        <v>222</v>
      </c>
      <c r="H132" s="49">
        <v>0.2164656014387262</v>
      </c>
    </row>
    <row r="133" spans="2:8" ht="14.4" x14ac:dyDescent="0.3">
      <c r="B133" s="63">
        <v>50131</v>
      </c>
      <c r="C133" s="66">
        <v>43753.423935376923</v>
      </c>
      <c r="G133" s="2" t="s">
        <v>223</v>
      </c>
      <c r="H133" s="49">
        <v>0.21473361808753735</v>
      </c>
    </row>
    <row r="134" spans="2:8" ht="14.4" x14ac:dyDescent="0.3">
      <c r="B134" s="63">
        <v>50161</v>
      </c>
      <c r="C134" s="66">
        <v>43758.994927860324</v>
      </c>
      <c r="G134" s="2" t="s">
        <v>224</v>
      </c>
      <c r="H134" s="49">
        <v>0.21473361808753735</v>
      </c>
    </row>
    <row r="135" spans="2:8" ht="14.4" x14ac:dyDescent="0.3">
      <c r="B135" s="63">
        <v>50192</v>
      </c>
      <c r="C135" s="66">
        <v>43805.997637898952</v>
      </c>
      <c r="G135" s="2" t="s">
        <v>225</v>
      </c>
      <c r="H135" s="49">
        <v>0.21473361808753735</v>
      </c>
    </row>
    <row r="136" spans="2:8" ht="14.4" x14ac:dyDescent="0.3">
      <c r="B136" s="63">
        <v>50222</v>
      </c>
      <c r="C136" s="66">
        <v>43869.425442126878</v>
      </c>
      <c r="G136" s="2" t="s">
        <v>226</v>
      </c>
      <c r="H136" s="49">
        <v>0.21473361808753735</v>
      </c>
    </row>
    <row r="137" spans="2:8" ht="14.4" x14ac:dyDescent="0.3">
      <c r="B137" s="63">
        <v>50253</v>
      </c>
      <c r="C137" s="66">
        <v>43869.585653675422</v>
      </c>
      <c r="G137" s="2" t="s">
        <v>227</v>
      </c>
      <c r="H137" s="49">
        <v>0.21300240419967897</v>
      </c>
    </row>
    <row r="138" spans="2:8" ht="14.4" x14ac:dyDescent="0.3">
      <c r="B138" s="63">
        <v>50284</v>
      </c>
      <c r="C138" s="66">
        <v>43887.08777230687</v>
      </c>
      <c r="G138" s="2" t="s">
        <v>228</v>
      </c>
      <c r="H138" s="49">
        <v>0.21300240419967897</v>
      </c>
    </row>
    <row r="139" spans="2:8" ht="14.4" x14ac:dyDescent="0.3">
      <c r="B139" s="63">
        <v>50314</v>
      </c>
      <c r="C139" s="66">
        <v>43892.797129309467</v>
      </c>
      <c r="G139" s="2" t="s">
        <v>229</v>
      </c>
      <c r="H139" s="49">
        <v>0.21300240419967897</v>
      </c>
    </row>
    <row r="140" spans="2:8" ht="14.4" x14ac:dyDescent="0.3">
      <c r="B140" s="63">
        <v>50345</v>
      </c>
      <c r="C140" s="66">
        <v>43910.468948603215</v>
      </c>
      <c r="G140" s="2" t="s">
        <v>230</v>
      </c>
      <c r="H140" s="49">
        <v>0.21127042084849015</v>
      </c>
    </row>
    <row r="141" spans="2:8" ht="14.4" x14ac:dyDescent="0.3">
      <c r="B141" s="63">
        <v>50375</v>
      </c>
      <c r="C141" s="66">
        <v>43938.238950350555</v>
      </c>
      <c r="G141" s="2" t="s">
        <v>231</v>
      </c>
      <c r="H141" s="49">
        <v>0.21127042084849015</v>
      </c>
    </row>
    <row r="142" spans="2:8" ht="14.4" x14ac:dyDescent="0.3">
      <c r="B142" s="63">
        <v>50406</v>
      </c>
      <c r="C142" s="66">
        <v>43938.238950350555</v>
      </c>
      <c r="G142" s="2" t="s">
        <v>232</v>
      </c>
      <c r="H142" s="49">
        <v>0.21127042084849015</v>
      </c>
    </row>
    <row r="143" spans="2:8" ht="14.4" x14ac:dyDescent="0.3">
      <c r="B143" s="63">
        <v>50437</v>
      </c>
      <c r="C143" s="66">
        <v>43948.216758481045</v>
      </c>
      <c r="G143" s="2" t="s">
        <v>233</v>
      </c>
      <c r="H143" s="49">
        <v>0.20953843749730128</v>
      </c>
    </row>
    <row r="144" spans="2:8" ht="14.4" x14ac:dyDescent="0.3">
      <c r="B144" s="63">
        <v>50465</v>
      </c>
      <c r="C144" s="66">
        <v>43948.216758481045</v>
      </c>
      <c r="G144" s="2" t="s">
        <v>234</v>
      </c>
      <c r="H144" s="49">
        <v>0.20953843749730128</v>
      </c>
    </row>
    <row r="145" spans="2:8" ht="14.4" x14ac:dyDescent="0.3">
      <c r="B145" s="63">
        <v>50496</v>
      </c>
      <c r="C145" s="66">
        <v>43948.216758481045</v>
      </c>
      <c r="G145" s="2" t="s">
        <v>235</v>
      </c>
      <c r="H145" s="49">
        <v>0.20953843749730128</v>
      </c>
    </row>
    <row r="146" spans="2:8" ht="14.4" x14ac:dyDescent="0.3">
      <c r="B146" s="63">
        <v>50526</v>
      </c>
      <c r="C146" s="66">
        <v>43953.632303431419</v>
      </c>
      <c r="G146" s="2" t="s">
        <v>236</v>
      </c>
      <c r="H146" s="49">
        <v>0.20953843749730128</v>
      </c>
    </row>
    <row r="147" spans="2:8" ht="14.4" x14ac:dyDescent="0.3">
      <c r="B147" s="63">
        <v>50557</v>
      </c>
      <c r="C147" s="66">
        <v>43999.323495757031</v>
      </c>
      <c r="G147" s="2" t="s">
        <v>237</v>
      </c>
      <c r="H147" s="49">
        <v>0.2078072236094429</v>
      </c>
    </row>
    <row r="148" spans="2:8" ht="14.4" x14ac:dyDescent="0.3">
      <c r="B148" s="63">
        <v>50587</v>
      </c>
      <c r="C148" s="66">
        <v>44060.981472486201</v>
      </c>
      <c r="G148" s="2" t="s">
        <v>238</v>
      </c>
      <c r="H148" s="49">
        <v>0.2078072236094429</v>
      </c>
    </row>
    <row r="149" spans="2:8" ht="14.4" x14ac:dyDescent="0.3">
      <c r="B149" s="63">
        <v>50618</v>
      </c>
      <c r="C149" s="66">
        <v>44061.137213648173</v>
      </c>
      <c r="G149" s="2" t="s">
        <v>239</v>
      </c>
      <c r="H149" s="49">
        <v>0.2078072236094429</v>
      </c>
    </row>
    <row r="150" spans="2:8" ht="14.4" x14ac:dyDescent="0.3">
      <c r="B150" s="63">
        <v>50649</v>
      </c>
      <c r="C150" s="66">
        <v>44078.150970255796</v>
      </c>
      <c r="G150" s="2" t="s">
        <v>240</v>
      </c>
      <c r="H150" s="49">
        <v>0.20607524025825408</v>
      </c>
    </row>
    <row r="151" spans="2:8" ht="14.4" x14ac:dyDescent="0.3">
      <c r="B151" s="63">
        <v>50679</v>
      </c>
      <c r="C151" s="66">
        <v>44083.701018936968</v>
      </c>
      <c r="G151" s="2" t="s">
        <v>241</v>
      </c>
      <c r="H151" s="49">
        <v>0.20607524025825408</v>
      </c>
    </row>
    <row r="152" spans="2:8" ht="14.4" x14ac:dyDescent="0.3">
      <c r="B152" s="63">
        <v>50710</v>
      </c>
      <c r="C152" s="66">
        <v>44100.879741045363</v>
      </c>
      <c r="G152" s="2" t="s">
        <v>242</v>
      </c>
      <c r="H152" s="49">
        <v>0.20607524025825408</v>
      </c>
    </row>
    <row r="153" spans="2:8" ht="14.4" x14ac:dyDescent="0.3">
      <c r="B153" s="63">
        <v>50740</v>
      </c>
      <c r="C153" s="66">
        <v>44127.8748757871</v>
      </c>
      <c r="G153" s="2" t="s">
        <v>243</v>
      </c>
      <c r="H153" s="49">
        <v>0.20607524025825408</v>
      </c>
    </row>
    <row r="154" spans="2:8" ht="14.4" x14ac:dyDescent="0.3">
      <c r="B154" s="63">
        <v>50771</v>
      </c>
      <c r="C154" s="66">
        <v>44127.8748757871</v>
      </c>
      <c r="G154" s="2" t="s">
        <v>244</v>
      </c>
      <c r="H154" s="49">
        <v>0.20434325690706523</v>
      </c>
    </row>
    <row r="155" spans="2:8" ht="14.4" x14ac:dyDescent="0.3">
      <c r="B155" s="63">
        <v>50802</v>
      </c>
      <c r="C155" s="66">
        <v>44137.574272904923</v>
      </c>
      <c r="G155" s="2" t="s">
        <v>245</v>
      </c>
      <c r="H155" s="49">
        <v>0.20434325690706523</v>
      </c>
    </row>
    <row r="156" spans="2:8" ht="14.4" x14ac:dyDescent="0.3">
      <c r="B156" s="63">
        <v>50830</v>
      </c>
      <c r="C156" s="66">
        <v>44137.574272904923</v>
      </c>
      <c r="G156" s="2" t="s">
        <v>246</v>
      </c>
      <c r="H156" s="49">
        <v>0.20434325690706523</v>
      </c>
    </row>
    <row r="157" spans="2:8" ht="14.4" x14ac:dyDescent="0.3">
      <c r="B157" s="63">
        <v>50861</v>
      </c>
      <c r="C157" s="66">
        <v>44137.574272904923</v>
      </c>
      <c r="G157" s="2" t="s">
        <v>247</v>
      </c>
      <c r="H157" s="49">
        <v>0.20261204301920682</v>
      </c>
    </row>
    <row r="158" spans="2:8" ht="14.4" x14ac:dyDescent="0.3">
      <c r="B158" s="63">
        <v>50891</v>
      </c>
      <c r="C158" s="66">
        <v>44141.916036936032</v>
      </c>
      <c r="G158" s="2" t="s">
        <v>248</v>
      </c>
      <c r="H158" s="49">
        <v>0.20261204301920682</v>
      </c>
    </row>
    <row r="159" spans="2:8" ht="14.4" x14ac:dyDescent="0.3">
      <c r="B159" s="63">
        <v>50922</v>
      </c>
      <c r="C159" s="66">
        <v>44178.547692142551</v>
      </c>
      <c r="G159" s="2" t="s">
        <v>249</v>
      </c>
      <c r="H159" s="49">
        <v>0.20261204301920682</v>
      </c>
    </row>
    <row r="160" spans="2:8" ht="14.4" x14ac:dyDescent="0.3">
      <c r="B160" s="63">
        <v>50952</v>
      </c>
      <c r="C160" s="66">
        <v>44227.980277052535</v>
      </c>
      <c r="G160" s="2" t="s">
        <v>250</v>
      </c>
      <c r="H160" s="49">
        <v>0.20261204301920682</v>
      </c>
    </row>
    <row r="161" spans="2:8" ht="14.4" x14ac:dyDescent="0.3">
      <c r="B161" s="63">
        <v>50983</v>
      </c>
      <c r="C161" s="66">
        <v>44228.10513824036</v>
      </c>
      <c r="G161" s="2" t="s">
        <v>251</v>
      </c>
      <c r="H161" s="49">
        <v>0.20088005966801797</v>
      </c>
    </row>
    <row r="162" spans="2:8" ht="14.4" x14ac:dyDescent="0.3">
      <c r="B162" s="63">
        <v>51014</v>
      </c>
      <c r="C162" s="66">
        <v>44241.745449076989</v>
      </c>
      <c r="G162" s="2" t="s">
        <v>252</v>
      </c>
      <c r="H162" s="49">
        <v>0.20088005966801797</v>
      </c>
    </row>
    <row r="163" spans="2:8" ht="14.4" x14ac:dyDescent="0.3">
      <c r="B163" s="63">
        <v>51044</v>
      </c>
      <c r="C163" s="66">
        <v>44246.195047770307</v>
      </c>
      <c r="G163" s="2" t="s">
        <v>253</v>
      </c>
      <c r="H163" s="49">
        <v>0.20088005966801797</v>
      </c>
    </row>
    <row r="164" spans="2:8" ht="14.4" x14ac:dyDescent="0.3">
      <c r="B164" s="63">
        <v>51075</v>
      </c>
      <c r="C164" s="66">
        <v>44259.967615154368</v>
      </c>
      <c r="G164" s="2" t="s">
        <v>254</v>
      </c>
      <c r="H164" s="49">
        <v>0.20088005966801797</v>
      </c>
    </row>
    <row r="165" spans="2:8" ht="14.4" x14ac:dyDescent="0.3">
      <c r="B165" s="63">
        <v>51105</v>
      </c>
      <c r="C165" s="66">
        <v>44281.610221043622</v>
      </c>
      <c r="G165" s="2" t="s">
        <v>255</v>
      </c>
      <c r="H165" s="49">
        <v>0.19914807631682915</v>
      </c>
    </row>
    <row r="166" spans="2:8" ht="14.4" x14ac:dyDescent="0.3">
      <c r="B166" s="63">
        <v>51136</v>
      </c>
      <c r="C166" s="66">
        <v>44281.610221043622</v>
      </c>
      <c r="G166" s="2" t="s">
        <v>256</v>
      </c>
      <c r="H166" s="49">
        <v>0.19914807631682915</v>
      </c>
    </row>
    <row r="167" spans="2:8" ht="14.4" x14ac:dyDescent="0.3">
      <c r="B167" s="63">
        <v>51167</v>
      </c>
      <c r="C167" s="66">
        <v>44289.386445581578</v>
      </c>
      <c r="G167" s="2" t="s">
        <v>257</v>
      </c>
      <c r="H167" s="49">
        <v>0.19914807631682915</v>
      </c>
    </row>
    <row r="168" spans="2:8" ht="14.4" x14ac:dyDescent="0.3">
      <c r="B168" s="63">
        <v>51196</v>
      </c>
      <c r="C168" s="66">
        <v>44289.386445581578</v>
      </c>
      <c r="G168" s="2" t="s">
        <v>258</v>
      </c>
      <c r="H168" s="49">
        <v>0.19914807631682915</v>
      </c>
    </row>
    <row r="169" spans="2:8" ht="14.4" x14ac:dyDescent="0.3">
      <c r="B169" s="63">
        <v>51227</v>
      </c>
      <c r="C169" s="66">
        <v>44289.386445581578</v>
      </c>
      <c r="G169" s="2" t="s">
        <v>259</v>
      </c>
      <c r="H169" s="49">
        <v>0.19741686242897075</v>
      </c>
    </row>
    <row r="170" spans="2:8" ht="14.4" x14ac:dyDescent="0.3">
      <c r="B170" s="63">
        <v>51257</v>
      </c>
      <c r="C170" s="66">
        <v>44293.606959898178</v>
      </c>
      <c r="G170" s="2" t="s">
        <v>260</v>
      </c>
      <c r="H170" s="49">
        <v>0.19741686242897075</v>
      </c>
    </row>
    <row r="171" spans="2:8" ht="14.4" x14ac:dyDescent="0.3">
      <c r="B171" s="63">
        <v>51288</v>
      </c>
      <c r="C171" s="66">
        <v>44329.215625899444</v>
      </c>
      <c r="G171" s="2" t="s">
        <v>261</v>
      </c>
      <c r="H171" s="49">
        <v>0.19741686242897075</v>
      </c>
    </row>
    <row r="172" spans="2:8" ht="14.4" x14ac:dyDescent="0.3">
      <c r="B172" s="63">
        <v>51318</v>
      </c>
      <c r="C172" s="66">
        <v>44377.267738088078</v>
      </c>
      <c r="G172" s="2" t="s">
        <v>262</v>
      </c>
      <c r="H172" s="49">
        <v>0.19741686242897075</v>
      </c>
    </row>
    <row r="173" spans="2:8" ht="14.4" x14ac:dyDescent="0.3">
      <c r="B173" s="63">
        <v>51349</v>
      </c>
      <c r="C173" s="66">
        <v>44377.389112356002</v>
      </c>
      <c r="G173" s="2" t="s">
        <v>263</v>
      </c>
      <c r="H173" s="49">
        <v>0.19568487907778193</v>
      </c>
    </row>
    <row r="174" spans="2:8" ht="14.4" x14ac:dyDescent="0.3">
      <c r="B174" s="63">
        <v>51380</v>
      </c>
      <c r="C174" s="66">
        <v>44390.648498807335</v>
      </c>
      <c r="G174" s="2" t="s">
        <v>264</v>
      </c>
      <c r="H174" s="49">
        <v>0.19568487907778193</v>
      </c>
    </row>
    <row r="175" spans="2:8" ht="14.4" x14ac:dyDescent="0.3">
      <c r="B175" s="63">
        <v>51410</v>
      </c>
      <c r="C175" s="66">
        <v>44394.973836355326</v>
      </c>
      <c r="G175" s="2" t="s">
        <v>265</v>
      </c>
      <c r="H175" s="49">
        <v>0.19568487907778193</v>
      </c>
    </row>
    <row r="176" spans="2:8" ht="14.4" x14ac:dyDescent="0.3">
      <c r="B176" s="63">
        <v>51441</v>
      </c>
      <c r="C176" s="66">
        <v>44408.361785908637</v>
      </c>
      <c r="G176" s="2" t="s">
        <v>266</v>
      </c>
      <c r="H176" s="49">
        <v>0.19568487907778193</v>
      </c>
    </row>
    <row r="177" spans="2:8" ht="14.4" x14ac:dyDescent="0.3">
      <c r="B177" s="63">
        <v>51471</v>
      </c>
      <c r="C177" s="66">
        <v>44429.399992349558</v>
      </c>
      <c r="G177" s="2" t="s">
        <v>267</v>
      </c>
      <c r="H177" s="49">
        <v>0.19395289572659308</v>
      </c>
    </row>
    <row r="178" spans="2:8" ht="14.4" x14ac:dyDescent="0.3">
      <c r="B178" s="63">
        <v>51502</v>
      </c>
      <c r="C178" s="66">
        <v>44429.399992349558</v>
      </c>
      <c r="G178" s="2" t="s">
        <v>268</v>
      </c>
      <c r="H178" s="49">
        <v>0.19395289572659308</v>
      </c>
    </row>
    <row r="179" spans="2:8" ht="14.4" x14ac:dyDescent="0.3">
      <c r="B179" s="63">
        <v>51533</v>
      </c>
      <c r="C179" s="66">
        <v>44436.959055153631</v>
      </c>
      <c r="G179" s="2" t="s">
        <v>269</v>
      </c>
      <c r="H179" s="49">
        <v>0.19395289572659308</v>
      </c>
    </row>
    <row r="180" spans="2:8" ht="14.4" x14ac:dyDescent="0.3">
      <c r="B180" s="63">
        <v>51561</v>
      </c>
      <c r="C180" s="66">
        <v>44436.959055153631</v>
      </c>
      <c r="G180" s="2" t="s">
        <v>270</v>
      </c>
      <c r="H180" s="49">
        <v>0.19395289572659308</v>
      </c>
    </row>
    <row r="181" spans="2:8" ht="14.4" x14ac:dyDescent="0.3">
      <c r="B181" s="63">
        <v>51592</v>
      </c>
      <c r="C181" s="66">
        <v>44436.959055153631</v>
      </c>
      <c r="G181" s="2" t="s">
        <v>271</v>
      </c>
      <c r="H181" s="49">
        <v>0.1922216818387347</v>
      </c>
    </row>
    <row r="182" spans="2:8" ht="14.4" x14ac:dyDescent="0.3">
      <c r="B182" s="63">
        <v>51622</v>
      </c>
      <c r="C182" s="66">
        <v>44441.072389191984</v>
      </c>
      <c r="G182" s="2" t="s">
        <v>272</v>
      </c>
      <c r="H182" s="49">
        <v>0.1922216818387347</v>
      </c>
    </row>
    <row r="183" spans="2:8" ht="14.4" x14ac:dyDescent="0.3">
      <c r="B183" s="63">
        <v>51653</v>
      </c>
      <c r="C183" s="66">
        <v>44475.776770444063</v>
      </c>
      <c r="G183" s="2" t="s">
        <v>273</v>
      </c>
      <c r="H183" s="49">
        <v>0.1922216818387347</v>
      </c>
    </row>
    <row r="184" spans="2:8" ht="14.4" x14ac:dyDescent="0.3">
      <c r="B184" s="63">
        <v>51683</v>
      </c>
      <c r="C184" s="66">
        <v>44522.608595632439</v>
      </c>
      <c r="G184" s="2" t="s">
        <v>274</v>
      </c>
      <c r="H184" s="49">
        <v>0.1922216818387347</v>
      </c>
    </row>
    <row r="185" spans="2:8" ht="14.4" x14ac:dyDescent="0.3">
      <c r="B185" s="63">
        <v>51714</v>
      </c>
      <c r="C185" s="66">
        <v>44522.726887591714</v>
      </c>
      <c r="G185" s="2" t="s">
        <v>275</v>
      </c>
      <c r="H185" s="49">
        <v>0.1922216818387347</v>
      </c>
    </row>
    <row r="186" spans="2:8" ht="14.4" x14ac:dyDescent="0.3">
      <c r="B186" s="63">
        <v>51745</v>
      </c>
      <c r="C186" s="66">
        <v>44535.649550927643</v>
      </c>
      <c r="G186" s="2" t="s">
        <v>276</v>
      </c>
      <c r="H186" s="49">
        <v>0.19048969848754585</v>
      </c>
    </row>
    <row r="187" spans="2:8" ht="14.4" x14ac:dyDescent="0.3">
      <c r="B187" s="63">
        <v>51775</v>
      </c>
      <c r="C187" s="66">
        <v>44539.865046203544</v>
      </c>
      <c r="G187" s="2" t="s">
        <v>277</v>
      </c>
      <c r="H187" s="49">
        <v>0.19048969848754585</v>
      </c>
    </row>
    <row r="188" spans="2:8" ht="14.4" x14ac:dyDescent="0.3">
      <c r="B188" s="63">
        <v>51806</v>
      </c>
      <c r="C188" s="66">
        <v>44552.913007771807</v>
      </c>
      <c r="G188" s="2" t="s">
        <v>278</v>
      </c>
      <c r="H188" s="49">
        <v>0.19048969848754585</v>
      </c>
    </row>
    <row r="189" spans="2:8" ht="14.4" x14ac:dyDescent="0.3">
      <c r="B189" s="63">
        <v>51836</v>
      </c>
      <c r="C189" s="66">
        <v>44573.41694737909</v>
      </c>
      <c r="G189" s="2" t="s">
        <v>279</v>
      </c>
      <c r="H189" s="49">
        <v>0.19048969848754585</v>
      </c>
    </row>
    <row r="190" spans="2:8" ht="14.4" x14ac:dyDescent="0.3">
      <c r="G190" s="2" t="s">
        <v>280</v>
      </c>
      <c r="H190" s="49">
        <v>0.188757715136357</v>
      </c>
    </row>
    <row r="191" spans="2:8" ht="14.4" x14ac:dyDescent="0.3">
      <c r="G191" s="2" t="s">
        <v>281</v>
      </c>
      <c r="H191" s="49">
        <v>0.188757715136357</v>
      </c>
    </row>
    <row r="192" spans="2:8" ht="14.4" x14ac:dyDescent="0.3">
      <c r="G192" s="2" t="s">
        <v>282</v>
      </c>
      <c r="H192" s="49">
        <v>0.188757715136357</v>
      </c>
    </row>
    <row r="193" spans="7:8" ht="14.4" x14ac:dyDescent="0.3">
      <c r="G193" s="2" t="s">
        <v>283</v>
      </c>
      <c r="H193" s="49">
        <v>0.188757715136357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H10"/>
  <sheetViews>
    <sheetView tabSelected="1" workbookViewId="0">
      <selection activeCell="G8" sqref="G8"/>
    </sheetView>
  </sheetViews>
  <sheetFormatPr defaultRowHeight="11.55" customHeight="1" x14ac:dyDescent="0.3"/>
  <cols>
    <col min="7" max="7" width="11" customWidth="1"/>
    <col min="8" max="8" width="30" customWidth="1"/>
  </cols>
  <sheetData>
    <row r="3" spans="2:8" ht="22.95" customHeight="1" x14ac:dyDescent="0.3">
      <c r="B3" s="51" t="s">
        <v>284</v>
      </c>
      <c r="C3" s="51" t="s">
        <v>285</v>
      </c>
      <c r="D3" s="51" t="s">
        <v>286</v>
      </c>
      <c r="E3" s="51" t="s">
        <v>287</v>
      </c>
      <c r="F3" s="51" t="s">
        <v>288</v>
      </c>
      <c r="G3" s="51" t="s">
        <v>289</v>
      </c>
      <c r="H3" t="s">
        <v>290</v>
      </c>
    </row>
    <row r="4" spans="2:8" ht="22.95" customHeight="1" x14ac:dyDescent="0.3">
      <c r="B4" s="67" t="s">
        <v>291</v>
      </c>
      <c r="C4" s="68">
        <v>1.5800000000000002E-2</v>
      </c>
      <c r="D4" s="68">
        <v>1.7000000000000001E-2</v>
      </c>
      <c r="E4" s="68">
        <v>1.9E-2</v>
      </c>
      <c r="F4" s="69">
        <v>2.1000000000000001E-2</v>
      </c>
      <c r="G4" s="67" t="s">
        <v>292</v>
      </c>
      <c r="H4" t="s">
        <v>293</v>
      </c>
    </row>
    <row r="5" spans="2:8" ht="22.95" customHeight="1" x14ac:dyDescent="0.3">
      <c r="B5" s="67" t="s">
        <v>294</v>
      </c>
      <c r="C5" s="68">
        <v>0.80600000000000005</v>
      </c>
      <c r="D5" s="68">
        <v>0.80700000000000005</v>
      </c>
      <c r="E5" s="68">
        <v>0.80800000000000005</v>
      </c>
      <c r="F5" s="69">
        <v>0.81</v>
      </c>
      <c r="G5" s="67" t="s">
        <v>295</v>
      </c>
      <c r="H5" t="s">
        <v>293</v>
      </c>
    </row>
    <row r="6" spans="2:8" ht="22.95" customHeight="1" x14ac:dyDescent="0.3">
      <c r="B6" s="67" t="s">
        <v>296</v>
      </c>
      <c r="C6" s="68">
        <v>0.80700000000000005</v>
      </c>
      <c r="D6" s="68">
        <v>0.80800000000000005</v>
      </c>
      <c r="E6" s="68">
        <v>0.81100000000000005</v>
      </c>
      <c r="F6" s="69">
        <v>0.81499999999999995</v>
      </c>
      <c r="G6" s="67" t="s">
        <v>292</v>
      </c>
      <c r="H6" t="s">
        <v>293</v>
      </c>
    </row>
    <row r="7" spans="2:8" ht="22.95" customHeight="1" x14ac:dyDescent="0.3">
      <c r="B7" s="67" t="s">
        <v>297</v>
      </c>
      <c r="C7" s="67" t="s">
        <v>298</v>
      </c>
      <c r="D7" s="67">
        <v>8.1999999999999993</v>
      </c>
      <c r="E7" s="67">
        <v>7.8</v>
      </c>
      <c r="F7" s="70">
        <v>9.5</v>
      </c>
      <c r="G7" s="67" t="s">
        <v>295</v>
      </c>
      <c r="H7" t="s">
        <v>293</v>
      </c>
    </row>
    <row r="8" spans="2:8" ht="14.4" x14ac:dyDescent="0.3">
      <c r="B8" s="67" t="s">
        <v>299</v>
      </c>
      <c r="C8" s="54">
        <v>0.41</v>
      </c>
      <c r="D8" s="54">
        <v>0.35</v>
      </c>
      <c r="E8" s="54">
        <v>0.38</v>
      </c>
      <c r="F8" s="55">
        <v>0.39</v>
      </c>
      <c r="G8" s="67" t="s">
        <v>292</v>
      </c>
      <c r="H8" t="s">
        <v>300</v>
      </c>
    </row>
    <row r="9" spans="2:8" ht="22.95" customHeight="1" x14ac:dyDescent="0.3">
      <c r="B9" s="67" t="s">
        <v>301</v>
      </c>
      <c r="C9" s="54">
        <v>0.9</v>
      </c>
      <c r="D9" s="54">
        <v>0.82</v>
      </c>
      <c r="E9" s="54">
        <v>0.85</v>
      </c>
      <c r="F9" s="55">
        <v>0.87</v>
      </c>
      <c r="G9" s="67" t="s">
        <v>302</v>
      </c>
      <c r="H9" t="s">
        <v>293</v>
      </c>
    </row>
    <row r="10" spans="2:8" ht="22.95" customHeight="1" x14ac:dyDescent="0.3">
      <c r="B10" s="67" t="s">
        <v>303</v>
      </c>
      <c r="C10" s="54">
        <v>0.84</v>
      </c>
      <c r="D10" s="67" t="s">
        <v>130</v>
      </c>
      <c r="E10" s="67" t="s">
        <v>130</v>
      </c>
      <c r="F10" s="54">
        <v>0.83</v>
      </c>
      <c r="G10" s="67" t="s">
        <v>295</v>
      </c>
      <c r="H10" t="s">
        <v>293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7"/>
  <sheetViews>
    <sheetView showGridLines="0" zoomScaleNormal="100" workbookViewId="0">
      <selection sqref="A1:G1"/>
    </sheetView>
  </sheetViews>
  <sheetFormatPr defaultRowHeight="14.4" x14ac:dyDescent="0.3"/>
  <cols>
    <col min="1" max="1" width="14" customWidth="1"/>
    <col min="2" max="2" width="24" customWidth="1"/>
    <col min="3" max="7" width="16" customWidth="1"/>
  </cols>
  <sheetData>
    <row r="1" spans="1:7" ht="28.05" customHeight="1" x14ac:dyDescent="0.3">
      <c r="A1" s="88" t="s">
        <v>304</v>
      </c>
      <c r="B1" s="88"/>
      <c r="C1" s="88"/>
      <c r="D1" s="88"/>
      <c r="E1" s="88"/>
      <c r="F1" s="88"/>
      <c r="G1" s="88"/>
    </row>
    <row r="2" spans="1:7" x14ac:dyDescent="0.3">
      <c r="A2" s="89" t="s">
        <v>305</v>
      </c>
      <c r="B2" s="89"/>
      <c r="C2" s="89"/>
      <c r="D2" s="89"/>
      <c r="E2" s="89"/>
      <c r="F2" s="89"/>
      <c r="G2" s="89"/>
    </row>
    <row r="3" spans="1:7" ht="34.049999999999997" customHeight="1" x14ac:dyDescent="0.3">
      <c r="A3" s="71" t="s">
        <v>58</v>
      </c>
      <c r="B3" s="71" t="s">
        <v>306</v>
      </c>
      <c r="C3" s="71" t="s">
        <v>307</v>
      </c>
      <c r="D3" s="71" t="s">
        <v>308</v>
      </c>
      <c r="E3" s="71" t="s">
        <v>309</v>
      </c>
      <c r="F3" s="71" t="s">
        <v>310</v>
      </c>
      <c r="G3" s="71" t="s">
        <v>311</v>
      </c>
    </row>
    <row r="4" spans="1:7" ht="19.95" customHeight="1" x14ac:dyDescent="0.3">
      <c r="A4" s="72">
        <v>45658</v>
      </c>
      <c r="B4" s="73">
        <v>0.9</v>
      </c>
      <c r="C4" s="74">
        <v>0.46</v>
      </c>
      <c r="D4" s="74">
        <v>0.18</v>
      </c>
      <c r="E4" s="74">
        <v>0.24</v>
      </c>
      <c r="F4" s="74">
        <v>0.12</v>
      </c>
      <c r="G4" s="74">
        <v>0</v>
      </c>
    </row>
    <row r="5" spans="1:7" ht="19.95" customHeight="1" x14ac:dyDescent="0.3">
      <c r="A5" s="72">
        <v>45689</v>
      </c>
      <c r="B5" s="73">
        <v>0.91</v>
      </c>
      <c r="C5" s="74">
        <v>0.45669999999999999</v>
      </c>
      <c r="D5" s="74">
        <v>0.18</v>
      </c>
      <c r="E5" s="74">
        <v>0.24</v>
      </c>
      <c r="F5" s="74">
        <v>0.12330000000000001</v>
      </c>
      <c r="G5" s="74">
        <v>0</v>
      </c>
    </row>
    <row r="6" spans="1:7" ht="19.95" customHeight="1" x14ac:dyDescent="0.3">
      <c r="A6" s="72">
        <v>45717</v>
      </c>
      <c r="B6" s="73">
        <v>0.92</v>
      </c>
      <c r="C6" s="74">
        <v>0.45329999999999998</v>
      </c>
      <c r="D6" s="74">
        <v>0.18</v>
      </c>
      <c r="E6" s="74">
        <v>0.24</v>
      </c>
      <c r="F6" s="74">
        <v>0.12670000000000001</v>
      </c>
      <c r="G6" s="74">
        <v>0</v>
      </c>
    </row>
    <row r="7" spans="1:7" ht="19.95" customHeight="1" x14ac:dyDescent="0.3">
      <c r="A7" s="72">
        <v>45748</v>
      </c>
      <c r="B7" s="73">
        <v>0.93</v>
      </c>
      <c r="C7" s="74">
        <v>0.45</v>
      </c>
      <c r="D7" s="74">
        <v>0.18</v>
      </c>
      <c r="E7" s="74">
        <v>0.24</v>
      </c>
      <c r="F7" s="74">
        <v>0.13</v>
      </c>
      <c r="G7" s="74">
        <v>0</v>
      </c>
    </row>
    <row r="8" spans="1:7" ht="19.95" customHeight="1" x14ac:dyDescent="0.3">
      <c r="A8" s="72">
        <v>45778</v>
      </c>
      <c r="B8" s="73">
        <v>0.94</v>
      </c>
      <c r="C8" s="74">
        <v>0.44670000000000004</v>
      </c>
      <c r="D8" s="74">
        <v>0.17670000000000002</v>
      </c>
      <c r="E8" s="74">
        <v>0.24329999999999999</v>
      </c>
      <c r="F8" s="74">
        <v>0.1333</v>
      </c>
      <c r="G8" s="74">
        <v>0</v>
      </c>
    </row>
    <row r="9" spans="1:7" ht="19.95" customHeight="1" x14ac:dyDescent="0.3">
      <c r="A9" s="72">
        <v>45809</v>
      </c>
      <c r="B9" s="73">
        <v>0.95</v>
      </c>
      <c r="C9" s="74">
        <v>0.44329999999999997</v>
      </c>
      <c r="D9" s="74">
        <v>0.17329999999999998</v>
      </c>
      <c r="E9" s="74">
        <v>0.24670000000000003</v>
      </c>
      <c r="F9" s="74">
        <v>0.13669999999999999</v>
      </c>
      <c r="G9" s="74">
        <v>0</v>
      </c>
    </row>
    <row r="10" spans="1:7" ht="19.95" customHeight="1" x14ac:dyDescent="0.3">
      <c r="A10" s="72">
        <v>45839</v>
      </c>
      <c r="B10" s="73">
        <v>0.96</v>
      </c>
      <c r="C10" s="74">
        <v>0.44</v>
      </c>
      <c r="D10" s="74">
        <v>0.17</v>
      </c>
      <c r="E10" s="74">
        <v>0.25</v>
      </c>
      <c r="F10" s="74">
        <v>0.14000000000000001</v>
      </c>
      <c r="G10" s="74">
        <v>0</v>
      </c>
    </row>
    <row r="11" spans="1:7" ht="19.95" customHeight="1" x14ac:dyDescent="0.3">
      <c r="A11" s="72">
        <v>45870</v>
      </c>
      <c r="B11" s="73">
        <v>0.97</v>
      </c>
      <c r="C11" s="74">
        <v>0.43670000000000003</v>
      </c>
      <c r="D11" s="74">
        <v>0.17</v>
      </c>
      <c r="E11" s="74">
        <v>0.25</v>
      </c>
      <c r="F11" s="74">
        <v>0.14330000000000001</v>
      </c>
      <c r="G11" s="74">
        <v>0</v>
      </c>
    </row>
    <row r="12" spans="1:7" ht="19.95" customHeight="1" x14ac:dyDescent="0.3">
      <c r="A12" s="72">
        <v>45901</v>
      </c>
      <c r="B12" s="73">
        <v>0.98</v>
      </c>
      <c r="C12" s="74">
        <v>0.43329999999999996</v>
      </c>
      <c r="D12" s="74">
        <v>0.17</v>
      </c>
      <c r="E12" s="74">
        <v>0.25</v>
      </c>
      <c r="F12" s="74">
        <v>0.1467</v>
      </c>
      <c r="G12" s="74">
        <v>0</v>
      </c>
    </row>
    <row r="13" spans="1:7" ht="19.95" customHeight="1" x14ac:dyDescent="0.3">
      <c r="A13" s="72">
        <v>45931</v>
      </c>
      <c r="B13" s="73">
        <v>0.99</v>
      </c>
      <c r="C13" s="74">
        <v>0.43</v>
      </c>
      <c r="D13" s="74">
        <v>0.17</v>
      </c>
      <c r="E13" s="74">
        <v>0.25</v>
      </c>
      <c r="F13" s="74">
        <v>0.15</v>
      </c>
      <c r="G13" s="74">
        <v>0</v>
      </c>
    </row>
    <row r="14" spans="1:7" ht="19.95" customHeight="1" x14ac:dyDescent="0.3">
      <c r="A14" s="72">
        <v>45962</v>
      </c>
      <c r="B14" s="73">
        <v>1</v>
      </c>
      <c r="C14" s="74">
        <v>0.42670000000000002</v>
      </c>
      <c r="D14" s="74">
        <v>0.16670000000000001</v>
      </c>
      <c r="E14" s="74">
        <v>0.25329999999999997</v>
      </c>
      <c r="F14" s="74">
        <v>0.15329999999999999</v>
      </c>
      <c r="G14" s="74">
        <v>0</v>
      </c>
    </row>
    <row r="15" spans="1:7" ht="19.95" customHeight="1" x14ac:dyDescent="0.3">
      <c r="A15" s="72">
        <v>45992</v>
      </c>
      <c r="B15" s="73">
        <v>1.01</v>
      </c>
      <c r="C15" s="74">
        <v>0.42330000000000001</v>
      </c>
      <c r="D15" s="74">
        <v>0.16329999999999997</v>
      </c>
      <c r="E15" s="74">
        <v>0.25670000000000004</v>
      </c>
      <c r="F15" s="74">
        <v>0.15670000000000001</v>
      </c>
      <c r="G15" s="74">
        <v>0</v>
      </c>
    </row>
    <row r="16" spans="1:7" ht="19.95" customHeight="1" x14ac:dyDescent="0.3">
      <c r="A16" s="72">
        <v>46023</v>
      </c>
      <c r="B16" s="73">
        <v>1.02</v>
      </c>
      <c r="C16" s="74">
        <v>0.42</v>
      </c>
      <c r="D16" s="74">
        <v>0.16</v>
      </c>
      <c r="E16" s="74">
        <v>0.26</v>
      </c>
      <c r="F16" s="74">
        <v>0.16</v>
      </c>
      <c r="G16" s="74">
        <v>0</v>
      </c>
    </row>
    <row r="17" spans="1:7" ht="19.95" customHeight="1" x14ac:dyDescent="0.3">
      <c r="A17" s="72">
        <v>46054</v>
      </c>
      <c r="B17" s="73">
        <v>1.03</v>
      </c>
      <c r="C17" s="74">
        <v>0.41</v>
      </c>
      <c r="D17" s="74">
        <v>0.15670000000000001</v>
      </c>
      <c r="E17" s="74">
        <v>0.26</v>
      </c>
      <c r="F17" s="74">
        <v>0.16329999999999997</v>
      </c>
      <c r="G17" s="74">
        <v>0</v>
      </c>
    </row>
    <row r="18" spans="1:7" ht="19.95" customHeight="1" x14ac:dyDescent="0.3">
      <c r="A18" s="72">
        <v>46082</v>
      </c>
      <c r="B18" s="73">
        <v>1.04</v>
      </c>
      <c r="C18" s="74">
        <v>0.4</v>
      </c>
      <c r="D18" s="74">
        <v>0.15329999999999999</v>
      </c>
      <c r="E18" s="74">
        <v>0.26</v>
      </c>
      <c r="F18" s="74">
        <v>0.16670000000000001</v>
      </c>
      <c r="G18" s="74">
        <v>0</v>
      </c>
    </row>
    <row r="19" spans="1:7" ht="19.95" customHeight="1" x14ac:dyDescent="0.3">
      <c r="A19" s="72">
        <v>46113</v>
      </c>
      <c r="B19" s="73">
        <v>1.05</v>
      </c>
      <c r="C19" s="74">
        <v>0.39</v>
      </c>
      <c r="D19" s="74">
        <v>0.15</v>
      </c>
      <c r="E19" s="74">
        <v>0.26</v>
      </c>
      <c r="F19" s="74">
        <v>0.17</v>
      </c>
      <c r="G19" s="74">
        <v>0</v>
      </c>
    </row>
    <row r="20" spans="1:7" ht="19.95" customHeight="1" x14ac:dyDescent="0.3">
      <c r="A20" s="72">
        <v>46143</v>
      </c>
      <c r="B20" s="73">
        <v>1.06</v>
      </c>
      <c r="C20" s="74">
        <v>0.38329999999999997</v>
      </c>
      <c r="D20" s="74">
        <v>0.1467</v>
      </c>
      <c r="E20" s="74">
        <v>0.25670000000000004</v>
      </c>
      <c r="F20" s="74">
        <v>0.17</v>
      </c>
      <c r="G20" s="74">
        <v>0</v>
      </c>
    </row>
    <row r="21" spans="1:7" ht="19.95" customHeight="1" x14ac:dyDescent="0.3">
      <c r="A21" s="72">
        <v>46174</v>
      </c>
      <c r="B21" s="73">
        <v>1.07</v>
      </c>
      <c r="C21" s="74">
        <v>0.37669999999999998</v>
      </c>
      <c r="D21" s="74">
        <v>0.14330000000000001</v>
      </c>
      <c r="E21" s="74">
        <v>0.25329999999999997</v>
      </c>
      <c r="F21" s="74">
        <v>0.17</v>
      </c>
      <c r="G21" s="74">
        <v>0</v>
      </c>
    </row>
    <row r="22" spans="1:7" ht="19.95" customHeight="1" x14ac:dyDescent="0.3">
      <c r="A22" s="72">
        <v>46204</v>
      </c>
      <c r="B22" s="73">
        <v>1.08</v>
      </c>
      <c r="C22" s="74">
        <v>0.37</v>
      </c>
      <c r="D22" s="74">
        <v>0.14000000000000001</v>
      </c>
      <c r="E22" s="74">
        <v>0.25</v>
      </c>
      <c r="F22" s="74">
        <v>0.17</v>
      </c>
      <c r="G22" s="74">
        <v>7.0000000000000007E-2</v>
      </c>
    </row>
    <row r="23" spans="1:7" ht="19.95" customHeight="1" x14ac:dyDescent="0.3">
      <c r="A23" s="72">
        <v>46235</v>
      </c>
      <c r="B23" s="73">
        <v>1.0900000000000001</v>
      </c>
      <c r="C23" s="74">
        <v>0.3599</v>
      </c>
      <c r="D23" s="74">
        <v>0.13669999999999999</v>
      </c>
      <c r="E23" s="74">
        <v>0.24670000000000003</v>
      </c>
      <c r="F23" s="74">
        <v>0.17</v>
      </c>
      <c r="G23" s="74">
        <v>8.6699999999999999E-2</v>
      </c>
    </row>
    <row r="24" spans="1:7" ht="19.95" customHeight="1" x14ac:dyDescent="0.3">
      <c r="A24" s="72">
        <v>46266</v>
      </c>
      <c r="B24" s="73">
        <v>1.1000000000000001</v>
      </c>
      <c r="C24" s="74">
        <v>0.35010000000000002</v>
      </c>
      <c r="D24" s="74">
        <v>0.1333</v>
      </c>
      <c r="E24" s="74">
        <v>0.24329999999999999</v>
      </c>
      <c r="F24" s="74">
        <v>0.17</v>
      </c>
      <c r="G24" s="74">
        <v>0.1033</v>
      </c>
    </row>
    <row r="25" spans="1:7" ht="19.95" customHeight="1" x14ac:dyDescent="0.3">
      <c r="A25" s="72">
        <v>46296</v>
      </c>
      <c r="B25" s="73">
        <v>1.1100000000000001</v>
      </c>
      <c r="C25" s="74">
        <v>0.34</v>
      </c>
      <c r="D25" s="74">
        <v>0.13</v>
      </c>
      <c r="E25" s="74">
        <v>0.24</v>
      </c>
      <c r="F25" s="74">
        <v>0.17</v>
      </c>
      <c r="G25" s="74">
        <v>0.12</v>
      </c>
    </row>
    <row r="26" spans="1:7" ht="19.95" customHeight="1" x14ac:dyDescent="0.3">
      <c r="A26" s="72">
        <v>46327</v>
      </c>
      <c r="B26" s="73">
        <v>1.1100000000000001</v>
      </c>
      <c r="C26" s="74">
        <v>0.34</v>
      </c>
      <c r="D26" s="74">
        <v>0.13</v>
      </c>
      <c r="E26" s="74">
        <v>0.24</v>
      </c>
      <c r="F26" s="74">
        <v>0.17</v>
      </c>
      <c r="G26" s="74">
        <v>0.12</v>
      </c>
    </row>
    <row r="27" spans="1:7" ht="19.95" customHeight="1" x14ac:dyDescent="0.3">
      <c r="A27" s="72">
        <v>46357</v>
      </c>
      <c r="B27" s="73">
        <v>1.1100000000000001</v>
      </c>
      <c r="C27" s="74">
        <v>0.34</v>
      </c>
      <c r="D27" s="74">
        <v>0.13</v>
      </c>
      <c r="E27" s="74">
        <v>0.24</v>
      </c>
      <c r="F27" s="74">
        <v>0.17</v>
      </c>
      <c r="G27" s="74">
        <v>0.12</v>
      </c>
    </row>
  </sheetData>
  <mergeCells count="2">
    <mergeCell ref="A1:G1"/>
    <mergeCell ref="A2:G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6"/>
  <sheetViews>
    <sheetView showGridLines="0" zoomScaleNormal="100" workbookViewId="0">
      <selection sqref="A1:C1"/>
    </sheetView>
  </sheetViews>
  <sheetFormatPr defaultRowHeight="14.4" x14ac:dyDescent="0.3"/>
  <cols>
    <col min="1" max="1" width="22" customWidth="1"/>
    <col min="2" max="3" width="18" customWidth="1"/>
  </cols>
  <sheetData>
    <row r="1" spans="1:3" ht="28.05" customHeight="1" x14ac:dyDescent="0.3">
      <c r="A1" s="88" t="s">
        <v>312</v>
      </c>
      <c r="B1" s="88"/>
      <c r="C1" s="88"/>
    </row>
    <row r="2" spans="1:3" x14ac:dyDescent="0.3">
      <c r="A2" s="89" t="s">
        <v>313</v>
      </c>
      <c r="B2" s="89"/>
      <c r="C2" s="89"/>
    </row>
    <row r="3" spans="1:3" ht="34.049999999999997" customHeight="1" x14ac:dyDescent="0.3">
      <c r="A3" s="71" t="s">
        <v>314</v>
      </c>
      <c r="B3" s="71" t="s">
        <v>315</v>
      </c>
      <c r="C3" s="71" t="s">
        <v>316</v>
      </c>
    </row>
    <row r="4" spans="1:3" ht="19.95" customHeight="1" x14ac:dyDescent="0.3">
      <c r="A4" s="75" t="s">
        <v>317</v>
      </c>
      <c r="B4" s="76">
        <v>3200</v>
      </c>
      <c r="C4" s="77">
        <v>6.1</v>
      </c>
    </row>
    <row r="5" spans="1:3" ht="19.95" customHeight="1" x14ac:dyDescent="0.3">
      <c r="A5" s="75" t="s">
        <v>318</v>
      </c>
      <c r="B5" s="76">
        <v>2600</v>
      </c>
      <c r="C5" s="77">
        <v>3.4</v>
      </c>
    </row>
    <row r="6" spans="1:3" ht="19.95" customHeight="1" x14ac:dyDescent="0.3">
      <c r="A6" s="75" t="s">
        <v>319</v>
      </c>
      <c r="B6" s="76">
        <v>900</v>
      </c>
      <c r="C6" s="77">
        <v>9.1999999999999993</v>
      </c>
    </row>
  </sheetData>
  <mergeCells count="2">
    <mergeCell ref="A1:C1"/>
    <mergeCell ref="A2:C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9"/>
  <sheetViews>
    <sheetView showGridLines="0" zoomScaleNormal="100" workbookViewId="0"/>
  </sheetViews>
  <sheetFormatPr defaultRowHeight="14.4" x14ac:dyDescent="0.3"/>
  <cols>
    <col min="1" max="3" width="14" customWidth="1"/>
    <col min="4" max="4" width="24" customWidth="1"/>
  </cols>
  <sheetData>
    <row r="1" spans="1:4" ht="28.05" customHeight="1" x14ac:dyDescent="0.3">
      <c r="A1" s="88" t="s">
        <v>320</v>
      </c>
      <c r="B1" s="88"/>
      <c r="C1" s="88"/>
      <c r="D1" s="88"/>
    </row>
    <row r="2" spans="1:4" x14ac:dyDescent="0.3">
      <c r="A2" s="89" t="s">
        <v>321</v>
      </c>
      <c r="B2" s="89"/>
      <c r="C2" s="89"/>
      <c r="D2" s="89"/>
    </row>
    <row r="3" spans="1:4" ht="34.049999999999997" customHeight="1" x14ac:dyDescent="0.3">
      <c r="A3" s="71" t="s">
        <v>58</v>
      </c>
      <c r="B3" s="71" t="s">
        <v>1</v>
      </c>
      <c r="C3" s="71" t="s">
        <v>2</v>
      </c>
      <c r="D3" s="71" t="s">
        <v>290</v>
      </c>
    </row>
    <row r="4" spans="1:4" ht="19.95" customHeight="1" x14ac:dyDescent="0.3">
      <c r="A4" s="72">
        <v>46204</v>
      </c>
      <c r="B4" s="78">
        <v>0.72</v>
      </c>
      <c r="C4" s="78">
        <v>0.79</v>
      </c>
      <c r="D4" s="75" t="s">
        <v>322</v>
      </c>
    </row>
    <row r="5" spans="1:4" ht="19.95" customHeight="1" x14ac:dyDescent="0.3">
      <c r="A5" s="72">
        <v>46235</v>
      </c>
      <c r="B5" s="78">
        <v>0.76</v>
      </c>
      <c r="C5" s="78">
        <v>0.8</v>
      </c>
      <c r="D5" s="75" t="s">
        <v>322</v>
      </c>
    </row>
    <row r="6" spans="1:4" ht="19.95" customHeight="1" x14ac:dyDescent="0.3">
      <c r="A6" s="72">
        <v>46266</v>
      </c>
      <c r="B6" s="78">
        <v>0.79</v>
      </c>
      <c r="C6" s="78">
        <v>0.81</v>
      </c>
      <c r="D6" s="75" t="s">
        <v>322</v>
      </c>
    </row>
    <row r="7" spans="1:4" ht="19.95" customHeight="1" x14ac:dyDescent="0.3">
      <c r="A7" s="72">
        <v>46296</v>
      </c>
      <c r="B7" s="78">
        <v>0.81</v>
      </c>
      <c r="C7" s="78">
        <v>0.82</v>
      </c>
      <c r="D7" s="75" t="s">
        <v>322</v>
      </c>
    </row>
    <row r="8" spans="1:4" ht="19.95" customHeight="1" x14ac:dyDescent="0.3">
      <c r="A8" s="72">
        <v>46327</v>
      </c>
      <c r="B8" s="78">
        <v>0.83</v>
      </c>
      <c r="C8" s="78">
        <v>0.82</v>
      </c>
      <c r="D8" s="75" t="s">
        <v>322</v>
      </c>
    </row>
    <row r="9" spans="1:4" ht="19.95" customHeight="1" x14ac:dyDescent="0.3">
      <c r="A9" s="72">
        <v>46357</v>
      </c>
      <c r="B9" s="78">
        <v>0.84</v>
      </c>
      <c r="C9" s="78">
        <v>0.83</v>
      </c>
      <c r="D9" s="75" t="s">
        <v>322</v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Market growth</vt:lpstr>
      <vt:lpstr>Patient split</vt:lpstr>
      <vt:lpstr>Product Uptake</vt:lpstr>
      <vt:lpstr>Source of Liphendra starts</vt:lpstr>
      <vt:lpstr>Liphendra NPS and Persistency</vt:lpstr>
      <vt:lpstr>Assumption Monitor</vt:lpstr>
      <vt:lpstr>LLT Product Mix</vt:lpstr>
      <vt:lpstr>Prescriber Breadth Depth</vt:lpstr>
      <vt:lpstr>Compliance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2026-09-04T07:32:51Z</dcterms:created>
  <dcterms:modified xsi:type="dcterms:W3CDTF">2026-09-07T16:16:13Z</dcterms:modified>
</cp:coreProperties>
</file>